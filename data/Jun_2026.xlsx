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abdul\Dropbox\ZYN_ELECTRICAL\Reportings\MIS\"/>
    </mc:Choice>
  </mc:AlternateContent>
  <xr:revisionPtr revIDLastSave="0" documentId="13_ncr:1_{A763B61B-484B-4C9D-BD69-96EB7103B5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" r:id="rId1"/>
    <sheet name="PowerHouse Data" sheetId="2" r:id="rId2"/>
    <sheet name="Compressor" sheetId="3" r:id="rId3"/>
    <sheet name="Diesel" sheetId="4" r:id="rId4"/>
    <sheet name="EB" sheetId="5" r:id="rId5"/>
    <sheet name="Flowmeter" sheetId="6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5" l="1"/>
  <c r="G2" i="5"/>
  <c r="F2" i="5"/>
  <c r="K2" i="5" s="1"/>
  <c r="I2" i="5"/>
  <c r="E3" i="5"/>
  <c r="G3" i="5"/>
  <c r="I3" i="5"/>
  <c r="E4" i="5"/>
  <c r="G4" i="5"/>
  <c r="H4" i="5"/>
  <c r="I4" i="5"/>
  <c r="F4" i="5"/>
  <c r="K4" i="5" s="1"/>
  <c r="E5" i="5"/>
  <c r="G5" i="5"/>
  <c r="H6" i="5"/>
  <c r="I5" i="5"/>
  <c r="E6" i="5"/>
  <c r="G6" i="5"/>
  <c r="H7" i="5" s="1"/>
  <c r="I6" i="5"/>
  <c r="E7" i="5"/>
  <c r="G7" i="5"/>
  <c r="I7" i="5"/>
  <c r="E8" i="5"/>
  <c r="G8" i="5"/>
  <c r="H9" i="5"/>
  <c r="I8" i="5"/>
  <c r="E9" i="5"/>
  <c r="G9" i="5"/>
  <c r="I9" i="5"/>
  <c r="E10" i="5"/>
  <c r="G10" i="5"/>
  <c r="I10" i="5"/>
  <c r="F10" i="5"/>
  <c r="K10" i="5"/>
  <c r="E11" i="5"/>
  <c r="G11" i="5"/>
  <c r="H11" i="5"/>
  <c r="I11" i="5"/>
  <c r="D12" i="5"/>
  <c r="E12" i="5"/>
  <c r="G12" i="5"/>
  <c r="I12" i="5"/>
  <c r="C13" i="5"/>
  <c r="G13" i="5"/>
  <c r="I13" i="5"/>
  <c r="J13" i="5"/>
  <c r="G14" i="5"/>
  <c r="I14" i="5"/>
  <c r="G15" i="5"/>
  <c r="H15" i="5" s="1"/>
  <c r="I15" i="5"/>
  <c r="G16" i="5"/>
  <c r="I16" i="5"/>
  <c r="G17" i="5"/>
  <c r="I17" i="5"/>
  <c r="G18" i="5"/>
  <c r="I18" i="5"/>
  <c r="G19" i="5"/>
  <c r="I19" i="5"/>
  <c r="G20" i="5"/>
  <c r="I20" i="5"/>
  <c r="E21" i="5"/>
  <c r="C21" i="1" s="1"/>
  <c r="G21" i="5"/>
  <c r="I21" i="5"/>
  <c r="G22" i="5"/>
  <c r="I22" i="5"/>
  <c r="F22" i="5"/>
  <c r="E23" i="5"/>
  <c r="C23" i="1" s="1"/>
  <c r="G23" i="5"/>
  <c r="I23" i="5"/>
  <c r="J24" i="5" s="1"/>
  <c r="G24" i="5"/>
  <c r="H25" i="5" s="1"/>
  <c r="I24" i="5"/>
  <c r="G25" i="5"/>
  <c r="F25" i="5" s="1"/>
  <c r="I25" i="5"/>
  <c r="G26" i="5"/>
  <c r="I26" i="5"/>
  <c r="J27" i="5" s="1"/>
  <c r="G27" i="5"/>
  <c r="F27" i="5" s="1"/>
  <c r="I27" i="5"/>
  <c r="G28" i="5"/>
  <c r="I28" i="5"/>
  <c r="J28" i="5" s="1"/>
  <c r="G29" i="5"/>
  <c r="H30" i="5" s="1"/>
  <c r="I29" i="5"/>
  <c r="G30" i="5"/>
  <c r="F31" i="5" s="1"/>
  <c r="I30" i="5"/>
  <c r="J31" i="5" s="1"/>
  <c r="G31" i="5"/>
  <c r="F32" i="5" s="1"/>
  <c r="K32" i="5" s="1"/>
  <c r="I31" i="5"/>
  <c r="E32" i="5"/>
  <c r="G32" i="5"/>
  <c r="H32" i="5" s="1"/>
  <c r="I32" i="5"/>
  <c r="H2" i="5"/>
  <c r="J7" i="5"/>
  <c r="J9" i="5"/>
  <c r="J19" i="5"/>
  <c r="J32" i="5"/>
  <c r="J12" i="5"/>
  <c r="J11" i="5"/>
  <c r="J10" i="5"/>
  <c r="J8" i="5"/>
  <c r="J6" i="5"/>
  <c r="J4" i="5"/>
  <c r="H19" i="5"/>
  <c r="H14" i="5"/>
  <c r="H10" i="5"/>
  <c r="H3" i="5"/>
  <c r="N2" i="4"/>
  <c r="L2" i="4"/>
  <c r="K2" i="3"/>
  <c r="H2" i="3"/>
  <c r="B2" i="3"/>
  <c r="D2" i="1"/>
  <c r="E2" i="3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C2" i="5"/>
  <c r="C2" i="4"/>
  <c r="F2" i="4"/>
  <c r="D32" i="5"/>
  <c r="D31" i="5"/>
  <c r="D30" i="5"/>
  <c r="D29" i="5"/>
  <c r="C30" i="5" s="1"/>
  <c r="D28" i="5"/>
  <c r="C29" i="5" s="1"/>
  <c r="E29" i="5" s="1"/>
  <c r="C29" i="1" s="1"/>
  <c r="D27" i="5"/>
  <c r="C28" i="5" s="1"/>
  <c r="D26" i="5"/>
  <c r="C27" i="5" s="1"/>
  <c r="D25" i="5"/>
  <c r="C26" i="5" s="1"/>
  <c r="D24" i="5"/>
  <c r="C25" i="5"/>
  <c r="D23" i="5"/>
  <c r="C24" i="5"/>
  <c r="D22" i="5"/>
  <c r="D21" i="5"/>
  <c r="D20" i="5"/>
  <c r="D19" i="5"/>
  <c r="C20" i="5"/>
  <c r="E20" i="5"/>
  <c r="C20" i="1" s="1"/>
  <c r="D18" i="5"/>
  <c r="D17" i="5"/>
  <c r="C18" i="5"/>
  <c r="D16" i="5"/>
  <c r="D15" i="5"/>
  <c r="C16" i="5"/>
  <c r="E16" i="5"/>
  <c r="C16" i="1"/>
  <c r="D14" i="5"/>
  <c r="C15" i="5"/>
  <c r="D13" i="5"/>
  <c r="E13" i="5"/>
  <c r="D11" i="5"/>
  <c r="C12" i="5"/>
  <c r="D10" i="5"/>
  <c r="D9" i="5"/>
  <c r="C10" i="5"/>
  <c r="D8" i="5"/>
  <c r="C9" i="5"/>
  <c r="D7" i="5"/>
  <c r="D6" i="5"/>
  <c r="D5" i="5"/>
  <c r="C6" i="5"/>
  <c r="D4" i="5"/>
  <c r="C5" i="5"/>
  <c r="D3" i="5"/>
  <c r="C4" i="5"/>
  <c r="D2" i="5"/>
  <c r="C3" i="5"/>
  <c r="O32" i="4"/>
  <c r="S32" i="4"/>
  <c r="O31" i="4"/>
  <c r="O30" i="4"/>
  <c r="N31" i="4" s="1"/>
  <c r="I31" i="1" s="1"/>
  <c r="O29" i="4"/>
  <c r="N30" i="4" s="1"/>
  <c r="I30" i="1" s="1"/>
  <c r="O28" i="4"/>
  <c r="S28" i="4" s="1"/>
  <c r="P28" i="1" s="1"/>
  <c r="O27" i="4"/>
  <c r="N27" i="4" s="1"/>
  <c r="I27" i="1" s="1"/>
  <c r="O26" i="4"/>
  <c r="O25" i="4"/>
  <c r="S25" i="4" s="1"/>
  <c r="P25" i="1" s="1"/>
  <c r="O24" i="4"/>
  <c r="S24" i="4" s="1"/>
  <c r="P24" i="1" s="1"/>
  <c r="O23" i="4"/>
  <c r="S23" i="4" s="1"/>
  <c r="P23" i="1" s="1"/>
  <c r="O22" i="4"/>
  <c r="S22" i="4" s="1"/>
  <c r="P22" i="1" s="1"/>
  <c r="O21" i="4"/>
  <c r="S21" i="4" s="1"/>
  <c r="P21" i="1" s="1"/>
  <c r="O20" i="4"/>
  <c r="O19" i="4"/>
  <c r="N19" i="4" s="1"/>
  <c r="I19" i="1" s="1"/>
  <c r="O18" i="4"/>
  <c r="O17" i="4"/>
  <c r="S17" i="4"/>
  <c r="P17" i="1" s="1"/>
  <c r="O16" i="4"/>
  <c r="S16" i="4" s="1"/>
  <c r="P16" i="1" s="1"/>
  <c r="O15" i="4"/>
  <c r="N15" i="4" s="1"/>
  <c r="I15" i="1" s="1"/>
  <c r="O14" i="4"/>
  <c r="O13" i="4"/>
  <c r="S13" i="4"/>
  <c r="P13" i="1" s="1"/>
  <c r="O12" i="4"/>
  <c r="N12" i="4" s="1"/>
  <c r="I12" i="1" s="1"/>
  <c r="O11" i="4"/>
  <c r="O10" i="4"/>
  <c r="N10" i="4" s="1"/>
  <c r="I10" i="1" s="1"/>
  <c r="O9" i="4"/>
  <c r="O8" i="4"/>
  <c r="S8" i="4"/>
  <c r="P8" i="1" s="1"/>
  <c r="O7" i="4"/>
  <c r="O6" i="4"/>
  <c r="S6" i="4" s="1"/>
  <c r="P6" i="1" s="1"/>
  <c r="O5" i="4"/>
  <c r="N6" i="4" s="1"/>
  <c r="I6" i="1" s="1"/>
  <c r="N5" i="4"/>
  <c r="I5" i="1" s="1"/>
  <c r="O4" i="4"/>
  <c r="S4" i="4" s="1"/>
  <c r="P4" i="1" s="1"/>
  <c r="N4" i="4"/>
  <c r="I4" i="1" s="1"/>
  <c r="O3" i="4"/>
  <c r="S3" i="4" s="1"/>
  <c r="P3" i="1" s="1"/>
  <c r="O2" i="4"/>
  <c r="M32" i="4"/>
  <c r="M31" i="4"/>
  <c r="M30" i="4"/>
  <c r="Q30" i="4" s="1"/>
  <c r="O30" i="1" s="1"/>
  <c r="M29" i="4"/>
  <c r="L29" i="4" s="1"/>
  <c r="H29" i="1" s="1"/>
  <c r="M28" i="4"/>
  <c r="M27" i="4"/>
  <c r="Q27" i="4" s="1"/>
  <c r="O27" i="1" s="1"/>
  <c r="M26" i="4"/>
  <c r="Q26" i="4" s="1"/>
  <c r="O26" i="1" s="1"/>
  <c r="M25" i="4"/>
  <c r="M24" i="4"/>
  <c r="Q24" i="4" s="1"/>
  <c r="O24" i="1" s="1"/>
  <c r="M23" i="4"/>
  <c r="M22" i="4"/>
  <c r="Q22" i="4" s="1"/>
  <c r="O22" i="1" s="1"/>
  <c r="M21" i="4"/>
  <c r="L22" i="4" s="1"/>
  <c r="H22" i="1" s="1"/>
  <c r="M20" i="4"/>
  <c r="L20" i="4" s="1"/>
  <c r="H20" i="1" s="1"/>
  <c r="M19" i="4"/>
  <c r="M18" i="4"/>
  <c r="L19" i="4"/>
  <c r="H19" i="1"/>
  <c r="M17" i="4"/>
  <c r="M16" i="4"/>
  <c r="M15" i="4"/>
  <c r="M14" i="4"/>
  <c r="L15" i="4"/>
  <c r="H15" i="1"/>
  <c r="Q14" i="4"/>
  <c r="O14" i="1"/>
  <c r="M13" i="4"/>
  <c r="M12" i="4"/>
  <c r="M11" i="4"/>
  <c r="M10" i="4"/>
  <c r="M9" i="4"/>
  <c r="M8" i="4"/>
  <c r="M7" i="4"/>
  <c r="M6" i="4"/>
  <c r="M5" i="4"/>
  <c r="M4" i="4"/>
  <c r="M3" i="4"/>
  <c r="M2" i="4"/>
  <c r="E32" i="4"/>
  <c r="E31" i="4"/>
  <c r="H31" i="4" s="1"/>
  <c r="E30" i="4"/>
  <c r="H30" i="4"/>
  <c r="E29" i="4"/>
  <c r="H29" i="4" s="1"/>
  <c r="E28" i="4"/>
  <c r="H28" i="4" s="1"/>
  <c r="E27" i="4"/>
  <c r="H27" i="4" s="1"/>
  <c r="E26" i="4"/>
  <c r="H26" i="4" s="1"/>
  <c r="E25" i="4"/>
  <c r="H25" i="4"/>
  <c r="E24" i="4"/>
  <c r="H24" i="4" s="1"/>
  <c r="E23" i="4"/>
  <c r="H23" i="4" s="1"/>
  <c r="E22" i="4"/>
  <c r="H22" i="4" s="1"/>
  <c r="E21" i="4"/>
  <c r="H21" i="4" s="1"/>
  <c r="E20" i="4"/>
  <c r="H20" i="4" s="1"/>
  <c r="E19" i="4"/>
  <c r="H19" i="4" s="1"/>
  <c r="E18" i="4"/>
  <c r="H18" i="4"/>
  <c r="E17" i="4"/>
  <c r="H17" i="4"/>
  <c r="E16" i="4"/>
  <c r="H16" i="4" s="1"/>
  <c r="E15" i="4"/>
  <c r="H15" i="4" s="1"/>
  <c r="E14" i="4"/>
  <c r="H14" i="4" s="1"/>
  <c r="E13" i="4"/>
  <c r="H13" i="4" s="1"/>
  <c r="E12" i="4"/>
  <c r="H12" i="4" s="1"/>
  <c r="E11" i="4"/>
  <c r="H11" i="4"/>
  <c r="E10" i="4"/>
  <c r="H10" i="4"/>
  <c r="E9" i="4"/>
  <c r="H9" i="4"/>
  <c r="E8" i="4"/>
  <c r="H8" i="4"/>
  <c r="E7" i="4"/>
  <c r="H7" i="4" s="1"/>
  <c r="E6" i="4"/>
  <c r="H6" i="4" s="1"/>
  <c r="E5" i="4"/>
  <c r="H5" i="4" s="1"/>
  <c r="E4" i="4"/>
  <c r="H4" i="4" s="1"/>
  <c r="E3" i="4"/>
  <c r="H3" i="4"/>
  <c r="E2" i="4"/>
  <c r="H2" i="4"/>
  <c r="D32" i="4"/>
  <c r="J32" i="4"/>
  <c r="I32" i="4"/>
  <c r="D31" i="4"/>
  <c r="D30" i="4"/>
  <c r="D29" i="4"/>
  <c r="J29" i="4" s="1"/>
  <c r="F30" i="4" s="1"/>
  <c r="D28" i="4"/>
  <c r="D27" i="4"/>
  <c r="D26" i="4"/>
  <c r="D25" i="4"/>
  <c r="D24" i="4"/>
  <c r="J24" i="4" s="1"/>
  <c r="D23" i="4"/>
  <c r="J23" i="4" s="1"/>
  <c r="F24" i="4" s="1"/>
  <c r="D22" i="4"/>
  <c r="D21" i="4"/>
  <c r="J21" i="4" s="1"/>
  <c r="D20" i="4"/>
  <c r="D19" i="4"/>
  <c r="C20" i="4"/>
  <c r="D18" i="4"/>
  <c r="J18" i="4"/>
  <c r="F19" i="4"/>
  <c r="D17" i="4"/>
  <c r="J17" i="4"/>
  <c r="F18" i="4"/>
  <c r="D16" i="4"/>
  <c r="C17" i="4"/>
  <c r="D15" i="4"/>
  <c r="J15" i="4"/>
  <c r="F16" i="4"/>
  <c r="D14" i="4"/>
  <c r="C15" i="4"/>
  <c r="D13" i="4"/>
  <c r="C14" i="4"/>
  <c r="D12" i="4"/>
  <c r="D11" i="4"/>
  <c r="D10" i="4"/>
  <c r="D9" i="4"/>
  <c r="D8" i="4"/>
  <c r="D7" i="4"/>
  <c r="D6" i="4"/>
  <c r="D5" i="4"/>
  <c r="D4" i="4"/>
  <c r="D3" i="4"/>
  <c r="D2" i="4"/>
  <c r="Q32" i="4"/>
  <c r="L32" i="3"/>
  <c r="M32" i="3"/>
  <c r="L31" i="3"/>
  <c r="L30" i="3"/>
  <c r="M30" i="3" s="1"/>
  <c r="N30" i="1" s="1"/>
  <c r="L29" i="3"/>
  <c r="K29" i="3" s="1"/>
  <c r="G29" i="1" s="1"/>
  <c r="L28" i="3"/>
  <c r="L27" i="3"/>
  <c r="K28" i="3" s="1"/>
  <c r="G28" i="1" s="1"/>
  <c r="L26" i="3"/>
  <c r="K26" i="3" s="1"/>
  <c r="G26" i="1" s="1"/>
  <c r="L25" i="3"/>
  <c r="L24" i="3"/>
  <c r="M24" i="3" s="1"/>
  <c r="N24" i="1" s="1"/>
  <c r="L23" i="3"/>
  <c r="K24" i="3" s="1"/>
  <c r="G24" i="1" s="1"/>
  <c r="L22" i="3"/>
  <c r="L21" i="3"/>
  <c r="L20" i="3"/>
  <c r="M20" i="3" s="1"/>
  <c r="N20" i="1" s="1"/>
  <c r="L19" i="3"/>
  <c r="M19" i="3"/>
  <c r="N19" i="1"/>
  <c r="L18" i="3"/>
  <c r="K19" i="3"/>
  <c r="G19" i="1"/>
  <c r="L17" i="3"/>
  <c r="K18" i="3"/>
  <c r="G18" i="1"/>
  <c r="L16" i="3"/>
  <c r="M16" i="3"/>
  <c r="N16" i="1"/>
  <c r="L15" i="3"/>
  <c r="K16" i="3"/>
  <c r="G16" i="1"/>
  <c r="L14" i="3"/>
  <c r="K14" i="3"/>
  <c r="G14" i="1"/>
  <c r="L13" i="3"/>
  <c r="L12" i="3"/>
  <c r="L11" i="3"/>
  <c r="L10" i="3"/>
  <c r="L9" i="3"/>
  <c r="L8" i="3"/>
  <c r="L7" i="3"/>
  <c r="L6" i="3"/>
  <c r="L5" i="3"/>
  <c r="L4" i="3"/>
  <c r="L3" i="3"/>
  <c r="L2" i="3"/>
  <c r="I32" i="3"/>
  <c r="I31" i="3"/>
  <c r="I30" i="3"/>
  <c r="J30" i="3" s="1"/>
  <c r="M30" i="1" s="1"/>
  <c r="I29" i="3"/>
  <c r="I28" i="3"/>
  <c r="H29" i="3" s="1"/>
  <c r="F29" i="1" s="1"/>
  <c r="I27" i="3"/>
  <c r="I26" i="3"/>
  <c r="I25" i="3"/>
  <c r="I24" i="3"/>
  <c r="H25" i="3" s="1"/>
  <c r="F25" i="1" s="1"/>
  <c r="I23" i="3"/>
  <c r="I22" i="3"/>
  <c r="I21" i="3"/>
  <c r="H22" i="3" s="1"/>
  <c r="F22" i="1" s="1"/>
  <c r="I20" i="3"/>
  <c r="I19" i="3"/>
  <c r="I18" i="3"/>
  <c r="H19" i="3"/>
  <c r="F19" i="1"/>
  <c r="I17" i="3"/>
  <c r="J17" i="3"/>
  <c r="M17" i="1"/>
  <c r="I16" i="3"/>
  <c r="H17" i="3"/>
  <c r="F17" i="1"/>
  <c r="I15" i="3"/>
  <c r="H16" i="3"/>
  <c r="F16" i="1"/>
  <c r="I14" i="3"/>
  <c r="I13" i="3"/>
  <c r="H14" i="3"/>
  <c r="F14" i="1"/>
  <c r="I12" i="3"/>
  <c r="I11" i="3"/>
  <c r="I10" i="3"/>
  <c r="I9" i="3"/>
  <c r="H10" i="3"/>
  <c r="I8" i="3"/>
  <c r="H9" i="3"/>
  <c r="I7" i="3"/>
  <c r="I6" i="3"/>
  <c r="I5" i="3"/>
  <c r="I4" i="3"/>
  <c r="I3" i="3"/>
  <c r="I2" i="3"/>
  <c r="F32" i="3"/>
  <c r="G32" i="3"/>
  <c r="F31" i="3"/>
  <c r="F30" i="3"/>
  <c r="G30" i="3" s="1"/>
  <c r="L30" i="1" s="1"/>
  <c r="F29" i="3"/>
  <c r="G29" i="3" s="1"/>
  <c r="L29" i="1" s="1"/>
  <c r="F28" i="3"/>
  <c r="F27" i="3"/>
  <c r="G27" i="3" s="1"/>
  <c r="L27" i="1" s="1"/>
  <c r="F26" i="3"/>
  <c r="E26" i="3" s="1"/>
  <c r="E26" i="1" s="1"/>
  <c r="F25" i="3"/>
  <c r="F24" i="3"/>
  <c r="F23" i="3"/>
  <c r="F22" i="3"/>
  <c r="G22" i="3" s="1"/>
  <c r="L22" i="1" s="1"/>
  <c r="F21" i="3"/>
  <c r="F20" i="3"/>
  <c r="F19" i="3"/>
  <c r="F18" i="3"/>
  <c r="F17" i="3"/>
  <c r="G17" i="3"/>
  <c r="L17" i="1"/>
  <c r="F16" i="3"/>
  <c r="G16" i="3"/>
  <c r="L16" i="1"/>
  <c r="F15" i="3"/>
  <c r="G15" i="3"/>
  <c r="L15" i="1"/>
  <c r="F14" i="3"/>
  <c r="G14" i="3"/>
  <c r="L14" i="1"/>
  <c r="F13" i="3"/>
  <c r="E13" i="3"/>
  <c r="E13" i="1"/>
  <c r="F12" i="3"/>
  <c r="F11" i="3"/>
  <c r="F10" i="3"/>
  <c r="F9" i="3"/>
  <c r="F8" i="3"/>
  <c r="F7" i="3"/>
  <c r="F6" i="3"/>
  <c r="F5" i="3"/>
  <c r="F4" i="3"/>
  <c r="F3" i="3"/>
  <c r="F2" i="3"/>
  <c r="C2" i="3"/>
  <c r="J32" i="3"/>
  <c r="C3" i="3"/>
  <c r="C4" i="3"/>
  <c r="C5" i="3"/>
  <c r="C6" i="3"/>
  <c r="C7" i="3"/>
  <c r="C8" i="3"/>
  <c r="C9" i="3"/>
  <c r="C10" i="3"/>
  <c r="C11" i="3"/>
  <c r="C12" i="3"/>
  <c r="C13" i="3"/>
  <c r="D13" i="3"/>
  <c r="K13" i="1"/>
  <c r="C14" i="3"/>
  <c r="C15" i="3"/>
  <c r="B16" i="3"/>
  <c r="D16" i="1"/>
  <c r="C16" i="3"/>
  <c r="C17" i="3"/>
  <c r="B17" i="3"/>
  <c r="D17" i="1"/>
  <c r="C18" i="3"/>
  <c r="C19" i="3"/>
  <c r="C20" i="3"/>
  <c r="D20" i="3" s="1"/>
  <c r="K20" i="1" s="1"/>
  <c r="C21" i="3"/>
  <c r="D21" i="3" s="1"/>
  <c r="K21" i="1" s="1"/>
  <c r="C22" i="3"/>
  <c r="D22" i="3" s="1"/>
  <c r="K22" i="1" s="1"/>
  <c r="C23" i="3"/>
  <c r="D23" i="3" s="1"/>
  <c r="K23" i="1" s="1"/>
  <c r="C24" i="3"/>
  <c r="C25" i="3"/>
  <c r="C26" i="3"/>
  <c r="C27" i="3"/>
  <c r="D27" i="3" s="1"/>
  <c r="K27" i="1" s="1"/>
  <c r="C28" i="3"/>
  <c r="C29" i="3"/>
  <c r="D29" i="3" s="1"/>
  <c r="K29" i="1" s="1"/>
  <c r="C30" i="3"/>
  <c r="B30" i="3" s="1"/>
  <c r="D30" i="1" s="1"/>
  <c r="C31" i="3"/>
  <c r="C32" i="3"/>
  <c r="D32" i="3"/>
  <c r="H7" i="3"/>
  <c r="F7" i="1"/>
  <c r="H32" i="3"/>
  <c r="H8" i="3"/>
  <c r="F8" i="1"/>
  <c r="H6" i="3"/>
  <c r="H12" i="3"/>
  <c r="H15" i="3"/>
  <c r="F15" i="1"/>
  <c r="H11" i="3"/>
  <c r="F11" i="1"/>
  <c r="H3" i="3"/>
  <c r="F3" i="1"/>
  <c r="H4" i="3"/>
  <c r="H5" i="3"/>
  <c r="F5" i="1"/>
  <c r="L3" i="4"/>
  <c r="C31" i="6"/>
  <c r="D31" i="6"/>
  <c r="C30" i="6"/>
  <c r="D30" i="6" s="1"/>
  <c r="C29" i="6"/>
  <c r="D29" i="6"/>
  <c r="C28" i="6"/>
  <c r="D28" i="6" s="1"/>
  <c r="C27" i="6"/>
  <c r="D27" i="6" s="1"/>
  <c r="C26" i="6"/>
  <c r="D26" i="6" s="1"/>
  <c r="C25" i="6"/>
  <c r="D25" i="6" s="1"/>
  <c r="C24" i="6"/>
  <c r="C23" i="6"/>
  <c r="D23" i="6"/>
  <c r="C22" i="6"/>
  <c r="D22" i="6" s="1"/>
  <c r="C21" i="6"/>
  <c r="D21" i="6" s="1"/>
  <c r="C20" i="6"/>
  <c r="D20" i="6"/>
  <c r="C19" i="6"/>
  <c r="D19" i="6"/>
  <c r="C18" i="6"/>
  <c r="D18" i="6"/>
  <c r="C17" i="6"/>
  <c r="D17" i="6" s="1"/>
  <c r="C16" i="6"/>
  <c r="D16" i="6" s="1"/>
  <c r="C15" i="6"/>
  <c r="D15" i="6"/>
  <c r="C14" i="6"/>
  <c r="D14" i="6" s="1"/>
  <c r="C13" i="6"/>
  <c r="C12" i="6"/>
  <c r="D12" i="6" s="1"/>
  <c r="C11" i="6"/>
  <c r="D11" i="6" s="1"/>
  <c r="C10" i="6"/>
  <c r="D10" i="6" s="1"/>
  <c r="C9" i="6"/>
  <c r="D9" i="6"/>
  <c r="C8" i="6"/>
  <c r="D8" i="6"/>
  <c r="C7" i="6"/>
  <c r="D7" i="6" s="1"/>
  <c r="C6" i="6"/>
  <c r="D6" i="6" s="1"/>
  <c r="C5" i="6"/>
  <c r="D5" i="6" s="1"/>
  <c r="C4" i="6"/>
  <c r="D4" i="6"/>
  <c r="C3" i="6"/>
  <c r="D3" i="6" s="1"/>
  <c r="C2" i="6"/>
  <c r="C23" i="5"/>
  <c r="C8" i="5"/>
  <c r="S10" i="4"/>
  <c r="P10" i="1" s="1"/>
  <c r="S9" i="4"/>
  <c r="P9" i="1" s="1"/>
  <c r="S7" i="4"/>
  <c r="P7" i="1" s="1"/>
  <c r="Q23" i="4"/>
  <c r="O23" i="1"/>
  <c r="Q18" i="4"/>
  <c r="O18" i="1"/>
  <c r="Q13" i="4"/>
  <c r="O13" i="1"/>
  <c r="Q9" i="4"/>
  <c r="O9" i="1"/>
  <c r="Q8" i="4"/>
  <c r="O8" i="1"/>
  <c r="Q6" i="4"/>
  <c r="O6" i="1"/>
  <c r="Q3" i="4"/>
  <c r="O3" i="1"/>
  <c r="Q2" i="4"/>
  <c r="O2" i="1"/>
  <c r="G31" i="4"/>
  <c r="J30" i="4"/>
  <c r="F31" i="4" s="1"/>
  <c r="I31" i="4" s="1"/>
  <c r="J31" i="4"/>
  <c r="C30" i="4"/>
  <c r="C27" i="4"/>
  <c r="C23" i="4"/>
  <c r="C22" i="4"/>
  <c r="C21" i="4"/>
  <c r="C18" i="4"/>
  <c r="C11" i="4"/>
  <c r="J7" i="4"/>
  <c r="F8" i="4"/>
  <c r="J6" i="4"/>
  <c r="F7" i="4"/>
  <c r="C6" i="4"/>
  <c r="D25" i="3"/>
  <c r="K25" i="1"/>
  <c r="D24" i="3"/>
  <c r="K24" i="1" s="1"/>
  <c r="D18" i="3"/>
  <c r="K18" i="1"/>
  <c r="D12" i="3"/>
  <c r="K12" i="1"/>
  <c r="D11" i="3"/>
  <c r="K11" i="1"/>
  <c r="D9" i="3"/>
  <c r="K9" i="1"/>
  <c r="D7" i="3"/>
  <c r="K7" i="1"/>
  <c r="D3" i="3"/>
  <c r="K3" i="1"/>
  <c r="D2" i="3"/>
  <c r="K2" i="1"/>
  <c r="J29" i="3"/>
  <c r="M29" i="1"/>
  <c r="J27" i="3"/>
  <c r="M27" i="1"/>
  <c r="J24" i="3"/>
  <c r="M24" i="1"/>
  <c r="J23" i="3"/>
  <c r="M23" i="1" s="1"/>
  <c r="J15" i="3"/>
  <c r="M15" i="1"/>
  <c r="J14" i="3"/>
  <c r="M14" i="1"/>
  <c r="J12" i="3"/>
  <c r="M12" i="1"/>
  <c r="J11" i="3"/>
  <c r="M11" i="1"/>
  <c r="J10" i="3"/>
  <c r="M10" i="1"/>
  <c r="J9" i="3"/>
  <c r="M9" i="1"/>
  <c r="J8" i="3"/>
  <c r="M8" i="1"/>
  <c r="J7" i="3"/>
  <c r="M7" i="1"/>
  <c r="J6" i="3"/>
  <c r="M6" i="1"/>
  <c r="J5" i="3"/>
  <c r="M5" i="1"/>
  <c r="J4" i="3"/>
  <c r="M4" i="1"/>
  <c r="J3" i="3"/>
  <c r="M3" i="1"/>
  <c r="J2" i="3"/>
  <c r="M2" i="1"/>
  <c r="J26" i="3"/>
  <c r="M26" i="1" s="1"/>
  <c r="J25" i="3"/>
  <c r="M25" i="1" s="1"/>
  <c r="M31" i="3"/>
  <c r="N31" i="1"/>
  <c r="M23" i="3"/>
  <c r="N23" i="1" s="1"/>
  <c r="M22" i="3"/>
  <c r="N22" i="1" s="1"/>
  <c r="M21" i="3"/>
  <c r="N21" i="1"/>
  <c r="M18" i="3"/>
  <c r="N18" i="1"/>
  <c r="M11" i="3"/>
  <c r="N11" i="1"/>
  <c r="M10" i="3"/>
  <c r="N10" i="1"/>
  <c r="M9" i="3"/>
  <c r="N9" i="1"/>
  <c r="M5" i="3"/>
  <c r="N5" i="1"/>
  <c r="G25" i="3"/>
  <c r="L25" i="1"/>
  <c r="G24" i="3"/>
  <c r="L24" i="1" s="1"/>
  <c r="G23" i="3"/>
  <c r="L23" i="1" s="1"/>
  <c r="G20" i="3"/>
  <c r="L20" i="1"/>
  <c r="G12" i="3"/>
  <c r="L12" i="1"/>
  <c r="G10" i="3"/>
  <c r="L10" i="1"/>
  <c r="G9" i="3"/>
  <c r="L9" i="1"/>
  <c r="G8" i="3"/>
  <c r="L8" i="1"/>
  <c r="G7" i="3"/>
  <c r="L7" i="1"/>
  <c r="G2" i="3"/>
  <c r="L2" i="1"/>
  <c r="C19" i="5"/>
  <c r="S14" i="4"/>
  <c r="P14" i="1"/>
  <c r="S26" i="4"/>
  <c r="P26" i="1" s="1"/>
  <c r="Q31" i="4"/>
  <c r="O31" i="1"/>
  <c r="G2" i="4"/>
  <c r="J2" i="4"/>
  <c r="I2" i="4"/>
  <c r="B2" i="1" s="1"/>
  <c r="C10" i="4"/>
  <c r="J25" i="4"/>
  <c r="M4" i="3"/>
  <c r="N4" i="1"/>
  <c r="M13" i="3"/>
  <c r="N13" i="1"/>
  <c r="M25" i="3"/>
  <c r="N25" i="1" s="1"/>
  <c r="G31" i="3"/>
  <c r="L31" i="1"/>
  <c r="D26" i="3"/>
  <c r="K26" i="1" s="1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12" i="6"/>
  <c r="A11" i="6"/>
  <c r="G30" i="4"/>
  <c r="G29" i="4"/>
  <c r="J28" i="4"/>
  <c r="F29" i="4" s="1"/>
  <c r="G28" i="4"/>
  <c r="J27" i="4"/>
  <c r="F28" i="4" s="1"/>
  <c r="G27" i="4"/>
  <c r="J26" i="4"/>
  <c r="F27" i="4" s="1"/>
  <c r="G26" i="4"/>
  <c r="G25" i="4"/>
  <c r="G24" i="4"/>
  <c r="I24" i="4" s="1"/>
  <c r="G23" i="4"/>
  <c r="J22" i="4"/>
  <c r="F23" i="4" s="1"/>
  <c r="G22" i="4"/>
  <c r="G21" i="4"/>
  <c r="J20" i="4"/>
  <c r="F21" i="4"/>
  <c r="G20" i="4"/>
  <c r="G19" i="4"/>
  <c r="G18" i="4"/>
  <c r="I18" i="4" s="1"/>
  <c r="G17" i="4"/>
  <c r="I17" i="4" s="1"/>
  <c r="G16" i="4"/>
  <c r="I16" i="4" s="1"/>
  <c r="G15" i="4"/>
  <c r="I15" i="4" s="1"/>
  <c r="F15" i="6" s="1"/>
  <c r="E15" i="6" s="1"/>
  <c r="G14" i="4"/>
  <c r="I14" i="4" s="1"/>
  <c r="G13" i="4"/>
  <c r="I13" i="4" s="1"/>
  <c r="J12" i="4"/>
  <c r="F13" i="4"/>
  <c r="J13" i="4"/>
  <c r="G12" i="4"/>
  <c r="J11" i="4"/>
  <c r="F12" i="4"/>
  <c r="I12" i="4"/>
  <c r="F12" i="6" s="1"/>
  <c r="G11" i="4"/>
  <c r="I11" i="4" s="1"/>
  <c r="J10" i="4"/>
  <c r="F11" i="4"/>
  <c r="G10" i="4"/>
  <c r="I10" i="4" s="1"/>
  <c r="J9" i="4"/>
  <c r="F10" i="4"/>
  <c r="G9" i="4"/>
  <c r="C33" i="4" s="1"/>
  <c r="J8" i="4"/>
  <c r="F9" i="4"/>
  <c r="G8" i="4"/>
  <c r="I8" i="4"/>
  <c r="B8" i="1" s="1"/>
  <c r="G7" i="4"/>
  <c r="I7" i="4"/>
  <c r="B7" i="1" s="1"/>
  <c r="G6" i="4"/>
  <c r="I6" i="4" s="1"/>
  <c r="J5" i="4"/>
  <c r="F6" i="4"/>
  <c r="G5" i="4"/>
  <c r="I5" i="4" s="1"/>
  <c r="J4" i="4"/>
  <c r="F5" i="4"/>
  <c r="G4" i="4"/>
  <c r="J3" i="4"/>
  <c r="F4" i="4"/>
  <c r="I4" i="4"/>
  <c r="B4" i="1" s="1"/>
  <c r="G3" i="4"/>
  <c r="F3" i="4"/>
  <c r="I3" i="4"/>
  <c r="F3" i="6" s="1"/>
  <c r="M17" i="3"/>
  <c r="N17" i="1"/>
  <c r="J22" i="3"/>
  <c r="M22" i="1"/>
  <c r="F2" i="1"/>
  <c r="F4" i="1"/>
  <c r="F6" i="1"/>
  <c r="F9" i="1"/>
  <c r="F10" i="1"/>
  <c r="F12" i="1"/>
  <c r="J18" i="3"/>
  <c r="M18" i="1"/>
  <c r="J28" i="3"/>
  <c r="M28" i="1" s="1"/>
  <c r="Q5" i="4"/>
  <c r="O5" i="1"/>
  <c r="I2" i="1"/>
  <c r="H2" i="1"/>
  <c r="G2" i="1"/>
  <c r="E2" i="1"/>
  <c r="S12" i="4"/>
  <c r="P12" i="1" s="1"/>
  <c r="S2" i="4"/>
  <c r="P2" i="1"/>
  <c r="Q17" i="4"/>
  <c r="O17" i="1"/>
  <c r="Q15" i="4"/>
  <c r="O15" i="1"/>
  <c r="Q10" i="4"/>
  <c r="O10" i="1"/>
  <c r="Q4" i="4"/>
  <c r="O4" i="1"/>
  <c r="J16" i="4"/>
  <c r="F17" i="4"/>
  <c r="C12" i="4"/>
  <c r="C9" i="4"/>
  <c r="C5" i="4"/>
  <c r="G28" i="3"/>
  <c r="L28" i="1" s="1"/>
  <c r="G18" i="3"/>
  <c r="L18" i="1"/>
  <c r="G3" i="3"/>
  <c r="L3" i="1"/>
  <c r="G4" i="3"/>
  <c r="L4" i="1"/>
  <c r="E5" i="3"/>
  <c r="E5" i="1"/>
  <c r="G5" i="3"/>
  <c r="L5" i="1"/>
  <c r="D16" i="3"/>
  <c r="K16" i="1"/>
  <c r="D4" i="3"/>
  <c r="K4" i="1"/>
  <c r="D5" i="3"/>
  <c r="K5" i="1"/>
  <c r="D6" i="3"/>
  <c r="K6" i="1"/>
  <c r="M28" i="3"/>
  <c r="N28" i="1" s="1"/>
  <c r="M3" i="3"/>
  <c r="N3" i="1"/>
  <c r="D13" i="6"/>
  <c r="D24" i="6"/>
  <c r="C31" i="5"/>
  <c r="E31" i="5" s="1"/>
  <c r="K13" i="3"/>
  <c r="G13" i="1"/>
  <c r="K3" i="3"/>
  <c r="G3" i="1"/>
  <c r="E6" i="3"/>
  <c r="E6" i="1"/>
  <c r="K17" i="3"/>
  <c r="G17" i="1"/>
  <c r="K31" i="3"/>
  <c r="G31" i="1"/>
  <c r="E11" i="3"/>
  <c r="E11" i="1"/>
  <c r="K5" i="3"/>
  <c r="G5" i="1"/>
  <c r="D15" i="3"/>
  <c r="K15" i="1"/>
  <c r="K8" i="3"/>
  <c r="G8" i="1"/>
  <c r="E19" i="3"/>
  <c r="E19" i="1"/>
  <c r="E12" i="3"/>
  <c r="E12" i="1"/>
  <c r="K4" i="3"/>
  <c r="G4" i="1"/>
  <c r="E4" i="3"/>
  <c r="E4" i="1"/>
  <c r="B9" i="3"/>
  <c r="D9" i="1"/>
  <c r="G11" i="3"/>
  <c r="L11" i="1"/>
  <c r="M7" i="3"/>
  <c r="N7" i="1"/>
  <c r="E15" i="3"/>
  <c r="E15" i="1"/>
  <c r="H27" i="3"/>
  <c r="F27" i="1" s="1"/>
  <c r="B3" i="3"/>
  <c r="D3" i="1"/>
  <c r="K15" i="3"/>
  <c r="G15" i="1"/>
  <c r="B12" i="3"/>
  <c r="D12" i="1"/>
  <c r="H24" i="3"/>
  <c r="F24" i="1"/>
  <c r="K22" i="3"/>
  <c r="G22" i="1"/>
  <c r="K11" i="3"/>
  <c r="G11" i="1"/>
  <c r="B28" i="3"/>
  <c r="D28" i="1" s="1"/>
  <c r="E29" i="3"/>
  <c r="E29" i="1" s="1"/>
  <c r="B18" i="3"/>
  <c r="D18" i="1"/>
  <c r="B5" i="3"/>
  <c r="D5" i="1"/>
  <c r="K21" i="3"/>
  <c r="G21" i="1"/>
  <c r="M15" i="3"/>
  <c r="N15" i="1"/>
  <c r="K6" i="3"/>
  <c r="G6" i="1"/>
  <c r="M2" i="3"/>
  <c r="N2" i="1"/>
  <c r="H20" i="3"/>
  <c r="F20" i="1"/>
  <c r="M6" i="3"/>
  <c r="N6" i="1"/>
  <c r="B11" i="3"/>
  <c r="D11" i="1"/>
  <c r="K10" i="3"/>
  <c r="G10" i="1"/>
  <c r="J31" i="3"/>
  <c r="M31" i="1"/>
  <c r="J19" i="3"/>
  <c r="M19" i="1"/>
  <c r="E10" i="3"/>
  <c r="E10" i="1"/>
  <c r="K9" i="3"/>
  <c r="G9" i="1"/>
  <c r="B19" i="3"/>
  <c r="D19" i="1"/>
  <c r="E9" i="3"/>
  <c r="E9" i="1"/>
  <c r="K20" i="3"/>
  <c r="G20" i="1"/>
  <c r="E7" i="3"/>
  <c r="E7" i="1"/>
  <c r="B25" i="3"/>
  <c r="D25" i="1" s="1"/>
  <c r="H31" i="3"/>
  <c r="F31" i="1" s="1"/>
  <c r="B7" i="3"/>
  <c r="D7" i="1"/>
  <c r="B26" i="3"/>
  <c r="D26" i="1" s="1"/>
  <c r="B27" i="3"/>
  <c r="D27" i="1" s="1"/>
  <c r="L17" i="4"/>
  <c r="H17" i="1"/>
  <c r="L23" i="4"/>
  <c r="H23" i="1" s="1"/>
  <c r="C4" i="4"/>
  <c r="L12" i="4"/>
  <c r="H12" i="1"/>
  <c r="C19" i="4"/>
  <c r="N11" i="4"/>
  <c r="I11" i="1" s="1"/>
  <c r="L24" i="4"/>
  <c r="H24" i="1" s="1"/>
  <c r="L11" i="4"/>
  <c r="H11" i="1"/>
  <c r="Q11" i="4"/>
  <c r="O11" i="1"/>
  <c r="C31" i="4"/>
  <c r="L21" i="4"/>
  <c r="H21" i="1" s="1"/>
  <c r="L14" i="4"/>
  <c r="H14" i="1"/>
  <c r="Q25" i="4"/>
  <c r="O25" i="1" s="1"/>
  <c r="L4" i="4"/>
  <c r="H4" i="1"/>
  <c r="C13" i="4"/>
  <c r="Q28" i="4"/>
  <c r="O28" i="1" s="1"/>
  <c r="H30" i="3"/>
  <c r="F30" i="1" s="1"/>
  <c r="M8" i="3"/>
  <c r="N8" i="1"/>
  <c r="L9" i="4"/>
  <c r="H9" i="1"/>
  <c r="N7" i="4"/>
  <c r="I7" i="1" s="1"/>
  <c r="B4" i="3"/>
  <c r="D4" i="1"/>
  <c r="E18" i="3"/>
  <c r="E18" i="1"/>
  <c r="E30" i="3"/>
  <c r="E30" i="1"/>
  <c r="C8" i="4"/>
  <c r="C29" i="4"/>
  <c r="L6" i="4"/>
  <c r="H6" i="1"/>
  <c r="K7" i="3"/>
  <c r="G7" i="1"/>
  <c r="B10" i="3"/>
  <c r="D10" i="1"/>
  <c r="D8" i="3"/>
  <c r="K8" i="1"/>
  <c r="B24" i="3"/>
  <c r="D24" i="1" s="1"/>
  <c r="K12" i="3"/>
  <c r="G12" i="1"/>
  <c r="L8" i="4"/>
  <c r="H8" i="1"/>
  <c r="C7" i="5"/>
  <c r="H26" i="3"/>
  <c r="F26" i="1"/>
  <c r="E24" i="3"/>
  <c r="E24" i="1" s="1"/>
  <c r="Q19" i="4"/>
  <c r="O19" i="1"/>
  <c r="E3" i="3"/>
  <c r="E3" i="1"/>
  <c r="E8" i="3"/>
  <c r="E8" i="1"/>
  <c r="D10" i="3"/>
  <c r="K10" i="1"/>
  <c r="E31" i="3"/>
  <c r="E31" i="1" s="1"/>
  <c r="L5" i="4"/>
  <c r="H5" i="1"/>
  <c r="B8" i="3"/>
  <c r="D8" i="1"/>
  <c r="D28" i="3"/>
  <c r="K28" i="1"/>
  <c r="G19" i="3"/>
  <c r="L19" i="1"/>
  <c r="B6" i="3"/>
  <c r="D6" i="1"/>
  <c r="H23" i="3"/>
  <c r="F23" i="1" s="1"/>
  <c r="G6" i="3"/>
  <c r="L6" i="1"/>
  <c r="M12" i="3"/>
  <c r="N12" i="1"/>
  <c r="L13" i="4"/>
  <c r="H13" i="1"/>
  <c r="E25" i="3"/>
  <c r="E25" i="1" s="1"/>
  <c r="D31" i="3"/>
  <c r="K31" i="1"/>
  <c r="L10" i="4"/>
  <c r="H10" i="1"/>
  <c r="C26" i="4"/>
  <c r="B29" i="3"/>
  <c r="D29" i="1"/>
  <c r="B23" i="3"/>
  <c r="D23" i="1" s="1"/>
  <c r="C28" i="4"/>
  <c r="Q16" i="4"/>
  <c r="O16" i="1"/>
  <c r="H3" i="1"/>
  <c r="N24" i="4"/>
  <c r="I24" i="1" s="1"/>
  <c r="Q7" i="4"/>
  <c r="O7" i="1"/>
  <c r="C7" i="4"/>
  <c r="S11" i="4"/>
  <c r="P11" i="1"/>
  <c r="L7" i="4"/>
  <c r="H7" i="1"/>
  <c r="C3" i="4"/>
  <c r="Q12" i="4"/>
  <c r="O12" i="1"/>
  <c r="N9" i="4"/>
  <c r="I9" i="1" s="1"/>
  <c r="L31" i="4"/>
  <c r="H31" i="1" s="1"/>
  <c r="J21" i="5"/>
  <c r="J17" i="5"/>
  <c r="J5" i="5"/>
  <c r="C17" i="5"/>
  <c r="J3" i="5"/>
  <c r="J2" i="5"/>
  <c r="C21" i="5"/>
  <c r="C7" i="1"/>
  <c r="C6" i="1"/>
  <c r="C3" i="1"/>
  <c r="C5" i="1"/>
  <c r="C4" i="1"/>
  <c r="C11" i="5"/>
  <c r="C2" i="1"/>
  <c r="C22" i="5"/>
  <c r="E22" i="5" s="1"/>
  <c r="C12" i="1"/>
  <c r="C8" i="1"/>
  <c r="C11" i="1"/>
  <c r="C10" i="1"/>
  <c r="C9" i="1"/>
  <c r="D19" i="3"/>
  <c r="K19" i="1"/>
  <c r="E19" i="5"/>
  <c r="C19" i="1"/>
  <c r="J19" i="4"/>
  <c r="J18" i="5"/>
  <c r="F19" i="5"/>
  <c r="K19" i="5" s="1"/>
  <c r="L18" i="4"/>
  <c r="H18" i="1"/>
  <c r="E18" i="5"/>
  <c r="C18" i="1"/>
  <c r="H18" i="5"/>
  <c r="H18" i="3"/>
  <c r="F18" i="1"/>
  <c r="D17" i="3"/>
  <c r="K17" i="1"/>
  <c r="E17" i="5"/>
  <c r="C17" i="1"/>
  <c r="F17" i="5"/>
  <c r="K17" i="5"/>
  <c r="J16" i="5"/>
  <c r="J16" i="3"/>
  <c r="M16" i="1"/>
  <c r="E17" i="3"/>
  <c r="E17" i="1"/>
  <c r="E16" i="3"/>
  <c r="E16" i="1"/>
  <c r="J15" i="5"/>
  <c r="L16" i="4"/>
  <c r="H16" i="1"/>
  <c r="B15" i="3"/>
  <c r="D15" i="1"/>
  <c r="E15" i="5"/>
  <c r="C15" i="1"/>
  <c r="C16" i="4"/>
  <c r="D14" i="3"/>
  <c r="K14" i="1"/>
  <c r="M14" i="3"/>
  <c r="N14" i="1"/>
  <c r="H23" i="5"/>
  <c r="H28" i="5"/>
  <c r="N8" i="4"/>
  <c r="I8" i="1" s="1"/>
  <c r="S5" i="4"/>
  <c r="P5" i="1" s="1"/>
  <c r="N18" i="4"/>
  <c r="I18" i="1" s="1"/>
  <c r="S19" i="4"/>
  <c r="P19" i="1"/>
  <c r="N14" i="4"/>
  <c r="I14" i="1"/>
  <c r="F11" i="5"/>
  <c r="K11" i="5" s="1"/>
  <c r="H8" i="5"/>
  <c r="S18" i="4"/>
  <c r="P18" i="1" s="1"/>
  <c r="S31" i="4"/>
  <c r="P31" i="1"/>
  <c r="H22" i="5"/>
  <c r="N3" i="4"/>
  <c r="I3" i="1" s="1"/>
  <c r="H17" i="5"/>
  <c r="F12" i="5"/>
  <c r="K12" i="5"/>
  <c r="J14" i="4"/>
  <c r="F14" i="4"/>
  <c r="F13" i="5"/>
  <c r="K13" i="5" s="1"/>
  <c r="F6" i="5"/>
  <c r="K6" i="5"/>
  <c r="H13" i="5"/>
  <c r="F28" i="5"/>
  <c r="H12" i="5"/>
  <c r="F8" i="5"/>
  <c r="K8" i="5" s="1"/>
  <c r="F18" i="5"/>
  <c r="K18" i="5" s="1"/>
  <c r="F3" i="5"/>
  <c r="K3" i="5"/>
  <c r="F5" i="5"/>
  <c r="K5" i="5" s="1"/>
  <c r="H5" i="5"/>
  <c r="H26" i="5"/>
  <c r="F24" i="5"/>
  <c r="F9" i="5"/>
  <c r="K9" i="5"/>
  <c r="J14" i="5"/>
  <c r="F14" i="5"/>
  <c r="N13" i="4"/>
  <c r="I13" i="1" s="1"/>
  <c r="E14" i="3"/>
  <c r="E14" i="1"/>
  <c r="J13" i="3"/>
  <c r="M13" i="1"/>
  <c r="H13" i="3"/>
  <c r="F13" i="1"/>
  <c r="G13" i="3"/>
  <c r="L13" i="1"/>
  <c r="B14" i="3"/>
  <c r="D14" i="1"/>
  <c r="B13" i="3"/>
  <c r="D13" i="1"/>
  <c r="C13" i="1"/>
  <c r="C14" i="5"/>
  <c r="E14" i="5"/>
  <c r="F15" i="4"/>
  <c r="K14" i="5"/>
  <c r="C14" i="1"/>
  <c r="J30" i="5" l="1"/>
  <c r="D30" i="3"/>
  <c r="K30" i="1" s="1"/>
  <c r="B31" i="3"/>
  <c r="D31" i="1" s="1"/>
  <c r="K31" i="5"/>
  <c r="C31" i="1"/>
  <c r="E30" i="5"/>
  <c r="C30" i="1" s="1"/>
  <c r="F31" i="6"/>
  <c r="E31" i="6" s="1"/>
  <c r="B31" i="1"/>
  <c r="I30" i="4"/>
  <c r="B30" i="1" s="1"/>
  <c r="Q29" i="4"/>
  <c r="O29" i="1" s="1"/>
  <c r="L30" i="4"/>
  <c r="H30" i="1" s="1"/>
  <c r="K30" i="3"/>
  <c r="G30" i="1" s="1"/>
  <c r="M29" i="3"/>
  <c r="N29" i="1" s="1"/>
  <c r="F29" i="5"/>
  <c r="K29" i="5" s="1"/>
  <c r="J29" i="5"/>
  <c r="H28" i="3"/>
  <c r="F28" i="1" s="1"/>
  <c r="E28" i="5"/>
  <c r="C28" i="1" s="1"/>
  <c r="I29" i="4"/>
  <c r="F29" i="6" s="1"/>
  <c r="E29" i="6" s="1"/>
  <c r="E27" i="5"/>
  <c r="E27" i="3"/>
  <c r="E27" i="1" s="1"/>
  <c r="E28" i="3"/>
  <c r="E28" i="1" s="1"/>
  <c r="S27" i="4"/>
  <c r="P27" i="1" s="1"/>
  <c r="L28" i="4"/>
  <c r="H28" i="1" s="1"/>
  <c r="M27" i="3"/>
  <c r="N27" i="1" s="1"/>
  <c r="N28" i="4"/>
  <c r="I28" i="1" s="1"/>
  <c r="I28" i="4"/>
  <c r="F13" i="6"/>
  <c r="E13" i="6" s="1"/>
  <c r="B13" i="1"/>
  <c r="F18" i="6"/>
  <c r="E18" i="6" s="1"/>
  <c r="B18" i="1"/>
  <c r="F5" i="6"/>
  <c r="E5" i="6" s="1"/>
  <c r="B5" i="1"/>
  <c r="B3" i="1"/>
  <c r="F7" i="6"/>
  <c r="E7" i="6" s="1"/>
  <c r="I9" i="4"/>
  <c r="F9" i="6" s="1"/>
  <c r="E9" i="6" s="1"/>
  <c r="D2" i="6"/>
  <c r="E3" i="6"/>
  <c r="B28" i="1"/>
  <c r="F28" i="6"/>
  <c r="E28" i="6" s="1"/>
  <c r="B10" i="1"/>
  <c r="F10" i="6"/>
  <c r="E10" i="6" s="1"/>
  <c r="D33" i="6"/>
  <c r="B6" i="1"/>
  <c r="F6" i="6"/>
  <c r="E6" i="6" s="1"/>
  <c r="F14" i="6"/>
  <c r="E14" i="6" s="1"/>
  <c r="B14" i="1"/>
  <c r="B11" i="1"/>
  <c r="F11" i="6"/>
  <c r="E11" i="6" s="1"/>
  <c r="B16" i="1"/>
  <c r="F16" i="6"/>
  <c r="E16" i="6" s="1"/>
  <c r="E12" i="6"/>
  <c r="B17" i="1"/>
  <c r="F17" i="6"/>
  <c r="E17" i="6" s="1"/>
  <c r="N22" i="4"/>
  <c r="I22" i="1" s="1"/>
  <c r="B12" i="1"/>
  <c r="H29" i="5"/>
  <c r="H31" i="5"/>
  <c r="F23" i="5"/>
  <c r="K23" i="5" s="1"/>
  <c r="B15" i="1"/>
  <c r="F16" i="5"/>
  <c r="K16" i="5" s="1"/>
  <c r="N17" i="4"/>
  <c r="I17" i="1" s="1"/>
  <c r="I19" i="4"/>
  <c r="F19" i="6" s="1"/>
  <c r="E19" i="6" s="1"/>
  <c r="H27" i="5"/>
  <c r="F4" i="6"/>
  <c r="E4" i="6" s="1"/>
  <c r="F30" i="5"/>
  <c r="K30" i="5" s="1"/>
  <c r="F15" i="5"/>
  <c r="K15" i="5" s="1"/>
  <c r="H16" i="5"/>
  <c r="S15" i="4"/>
  <c r="P15" i="1" s="1"/>
  <c r="P33" i="1" s="1"/>
  <c r="N20" i="4"/>
  <c r="I20" i="1" s="1"/>
  <c r="N29" i="4"/>
  <c r="I29" i="1" s="1"/>
  <c r="B9" i="1"/>
  <c r="S29" i="4"/>
  <c r="P29" i="1" s="1"/>
  <c r="N16" i="4"/>
  <c r="I16" i="1" s="1"/>
  <c r="I27" i="4"/>
  <c r="F27" i="6" s="1"/>
  <c r="E27" i="6" s="1"/>
  <c r="H21" i="5"/>
  <c r="F2" i="6"/>
  <c r="F8" i="6"/>
  <c r="S30" i="4"/>
  <c r="P30" i="1" s="1"/>
  <c r="F7" i="5"/>
  <c r="K7" i="5" s="1"/>
  <c r="I25" i="4"/>
  <c r="F26" i="5"/>
  <c r="K26" i="5" s="1"/>
  <c r="G26" i="3"/>
  <c r="L26" i="1" s="1"/>
  <c r="K27" i="5"/>
  <c r="C27" i="1"/>
  <c r="E26" i="5"/>
  <c r="K27" i="3"/>
  <c r="G27" i="1" s="1"/>
  <c r="M26" i="3"/>
  <c r="N26" i="1" s="1"/>
  <c r="L27" i="4"/>
  <c r="H27" i="1" s="1"/>
  <c r="L26" i="4"/>
  <c r="H26" i="1" s="1"/>
  <c r="J25" i="5"/>
  <c r="J26" i="5"/>
  <c r="C26" i="1"/>
  <c r="E25" i="5"/>
  <c r="N26" i="4"/>
  <c r="I26" i="1" s="1"/>
  <c r="N25" i="4"/>
  <c r="I25" i="1" s="1"/>
  <c r="F26" i="4"/>
  <c r="I26" i="4" s="1"/>
  <c r="H24" i="5"/>
  <c r="L25" i="4"/>
  <c r="H25" i="1" s="1"/>
  <c r="K25" i="3"/>
  <c r="G25" i="1" s="1"/>
  <c r="C25" i="1"/>
  <c r="K25" i="5"/>
  <c r="E24" i="5"/>
  <c r="F25" i="4"/>
  <c r="C25" i="4"/>
  <c r="N21" i="4"/>
  <c r="I21" i="1" s="1"/>
  <c r="S20" i="4"/>
  <c r="P20" i="1" s="1"/>
  <c r="F20" i="5"/>
  <c r="K20" i="5" s="1"/>
  <c r="H20" i="5"/>
  <c r="N23" i="4"/>
  <c r="I23" i="1" s="1"/>
  <c r="K23" i="3"/>
  <c r="G23" i="1" s="1"/>
  <c r="C24" i="1"/>
  <c r="K24" i="5"/>
  <c r="C24" i="4"/>
  <c r="I23" i="4"/>
  <c r="F23" i="6" s="1"/>
  <c r="E23" i="6" s="1"/>
  <c r="J22" i="5"/>
  <c r="J23" i="5"/>
  <c r="N33" i="1"/>
  <c r="N34" i="1" s="1"/>
  <c r="E23" i="3"/>
  <c r="E23" i="1" s="1"/>
  <c r="E22" i="3"/>
  <c r="E22" i="1" s="1"/>
  <c r="B22" i="3"/>
  <c r="D22" i="1" s="1"/>
  <c r="Q21" i="4"/>
  <c r="O21" i="1" s="1"/>
  <c r="J21" i="3"/>
  <c r="M21" i="1" s="1"/>
  <c r="H21" i="3"/>
  <c r="F21" i="1" s="1"/>
  <c r="E21" i="3"/>
  <c r="E21" i="1" s="1"/>
  <c r="G21" i="3"/>
  <c r="L21" i="1" s="1"/>
  <c r="L33" i="1" s="1"/>
  <c r="L34" i="1" s="1"/>
  <c r="K33" i="1"/>
  <c r="K34" i="1" s="1"/>
  <c r="K22" i="5"/>
  <c r="C22" i="1"/>
  <c r="I21" i="4"/>
  <c r="F22" i="4"/>
  <c r="I22" i="4" s="1"/>
  <c r="J20" i="5"/>
  <c r="F21" i="5"/>
  <c r="K21" i="5" s="1"/>
  <c r="Q20" i="4"/>
  <c r="O20" i="1" s="1"/>
  <c r="O33" i="1" s="1"/>
  <c r="E20" i="3"/>
  <c r="E20" i="1" s="1"/>
  <c r="J20" i="3"/>
  <c r="M20" i="1" s="1"/>
  <c r="B21" i="3"/>
  <c r="D21" i="1" s="1"/>
  <c r="B20" i="3"/>
  <c r="D20" i="1" s="1"/>
  <c r="F20" i="4"/>
  <c r="I20" i="4" s="1"/>
  <c r="F30" i="6" l="1"/>
  <c r="E30" i="6" s="1"/>
  <c r="B29" i="1"/>
  <c r="K28" i="5"/>
  <c r="E2" i="6"/>
  <c r="B27" i="1"/>
  <c r="B23" i="1"/>
  <c r="E8" i="6"/>
  <c r="E33" i="6" s="1"/>
  <c r="F33" i="6"/>
  <c r="B19" i="1"/>
  <c r="F26" i="6"/>
  <c r="E26" i="6" s="1"/>
  <c r="B26" i="1"/>
  <c r="F25" i="6"/>
  <c r="E25" i="6" s="1"/>
  <c r="B25" i="1"/>
  <c r="B24" i="1"/>
  <c r="F24" i="6"/>
  <c r="E24" i="6" s="1"/>
  <c r="F22" i="6"/>
  <c r="E22" i="6" s="1"/>
  <c r="B22" i="1"/>
  <c r="B21" i="1"/>
  <c r="F21" i="6"/>
  <c r="E21" i="6" s="1"/>
  <c r="F20" i="6"/>
  <c r="E20" i="6" s="1"/>
  <c r="B20" i="1"/>
  <c r="C34" i="4"/>
</calcChain>
</file>

<file path=xl/sharedStrings.xml><?xml version="1.0" encoding="utf-8"?>
<sst xmlns="http://schemas.openxmlformats.org/spreadsheetml/2006/main" count="126" uniqueCount="80">
  <si>
    <t>Date</t>
  </si>
  <si>
    <t>Nepa Consumption (K.W.H)</t>
  </si>
  <si>
    <t>Milling DG Run Hours</t>
  </si>
  <si>
    <t>Parboiling DG Run Hours</t>
  </si>
  <si>
    <t>Comp E75 -2
Run Hours</t>
  </si>
  <si>
    <t>Comp E75 -1
Run Hours</t>
  </si>
  <si>
    <t>Admin DG Run Hours</t>
  </si>
  <si>
    <t>Comp E55 Run Hours</t>
  </si>
  <si>
    <t>Comp E75 -1
Rem Hours To Service</t>
  </si>
  <si>
    <t>Comp E75 -2
Rem Hours To Service</t>
  </si>
  <si>
    <t>Milling DG Rem Hours To Service</t>
  </si>
  <si>
    <t>Parboiling DG Rem Hours 
To Service</t>
  </si>
  <si>
    <t>Comp E55 Rem Hours To Service</t>
  </si>
  <si>
    <t>Comp E75 -1
Run Hr</t>
  </si>
  <si>
    <t>Comp E75 -2
Run Hr</t>
  </si>
  <si>
    <t>Comp E55 Run Hr</t>
  </si>
  <si>
    <t>Comp E75 -1
Next Ser
Hours</t>
  </si>
  <si>
    <t>Comp E75 -2
Next Ser
Hours</t>
  </si>
  <si>
    <t>Comp E55
Next Ser
Hours</t>
  </si>
  <si>
    <t xml:space="preserve">TIME </t>
  </si>
  <si>
    <t>Dip Stick Reading O/P Stock</t>
  </si>
  <si>
    <t>Dip Stick Reading C/L Stock</t>
  </si>
  <si>
    <t>Service Tank</t>
  </si>
  <si>
    <t>DG Milling Run Hours</t>
  </si>
  <si>
    <t>DG Parboiling 
Run Hours</t>
  </si>
  <si>
    <t>Milling DG
Next Ser
Hours</t>
  </si>
  <si>
    <t>Parboiling DG
Next Ser
Hours</t>
  </si>
  <si>
    <t>REMARKS</t>
  </si>
  <si>
    <t>Dip / 
mm</t>
  </si>
  <si>
    <t>Volume / 
Litters</t>
  </si>
  <si>
    <t>Summary</t>
  </si>
  <si>
    <t>Total received</t>
  </si>
  <si>
    <t>Total Cons</t>
  </si>
  <si>
    <t xml:space="preserve">NEPA INITIAL </t>
  </si>
  <si>
    <t>NEPA FINAL</t>
  </si>
  <si>
    <t>NEPA Consumption (KWH)</t>
  </si>
  <si>
    <t>7:00AM</t>
  </si>
  <si>
    <t xml:space="preserve">                                            Date
   Equipments</t>
  </si>
  <si>
    <t>Diesel Dip reading (mm)</t>
  </si>
  <si>
    <t>Nepa meter reading (KWH)</t>
  </si>
  <si>
    <t>1-Comp E75 reading (Hours)</t>
  </si>
  <si>
    <t>2-Comp E75 reading (Hours)</t>
  </si>
  <si>
    <t>Milling DG reading (Hours)</t>
  </si>
  <si>
    <t>Parboiling DG reading (Hours)</t>
  </si>
  <si>
    <t>DG Parboiling 
Run Hr Meter</t>
  </si>
  <si>
    <t>DG Milling Run Hr Meter</t>
  </si>
  <si>
    <t>Hours Rem</t>
  </si>
  <si>
    <t>Days Rem</t>
  </si>
  <si>
    <t>Use FM (Litres)</t>
  </si>
  <si>
    <t>Use dip (Litres)</t>
  </si>
  <si>
    <t>Difference</t>
  </si>
  <si>
    <t>Comp E75 -3
Run Hours</t>
  </si>
  <si>
    <t>Comp E75 -3
Run Hr</t>
  </si>
  <si>
    <t>Comp E75 -3
Rem Hours To Service</t>
  </si>
  <si>
    <t>3-Comp E75 reading (Hours)</t>
  </si>
  <si>
    <t>4-Comp E55 reading (Hours)</t>
  </si>
  <si>
    <t>Comp E75 -3
Next Ser
Hours</t>
  </si>
  <si>
    <t>Diesel RECEIVED</t>
  </si>
  <si>
    <t>Dip Stick Reading After receive Diesel</t>
  </si>
  <si>
    <t>Diesel Dip After Receive</t>
  </si>
  <si>
    <t>After receive Diesel 
(Liters)</t>
  </si>
  <si>
    <t>Received (Liters)</t>
  </si>
  <si>
    <t>Opening Stock (Liters)</t>
  </si>
  <si>
    <t>Consumption (Liters)</t>
  </si>
  <si>
    <t>Closing Stock (Liters)</t>
  </si>
  <si>
    <t>Diesel flow meter reading</t>
  </si>
  <si>
    <t>FM Final reading</t>
  </si>
  <si>
    <t>FM Initial Reading</t>
  </si>
  <si>
    <t>Diesel Consumption
(LTRS)</t>
  </si>
  <si>
    <t>MILLING</t>
  </si>
  <si>
    <t>UTILITY / PARBOILING</t>
  </si>
  <si>
    <t>MILLING + UTILITY / PARBOILING</t>
  </si>
  <si>
    <t>DIFFERENCE</t>
  </si>
  <si>
    <t>MILLING 
CONSUMPTION</t>
  </si>
  <si>
    <t>UTILITY / PARBOILING
CONSUMPTION</t>
  </si>
  <si>
    <t>NOTE: 12.06.2026 
Receive desiel                                        50 X 230 = 11500 ltrs
Befor Receive dip Reading                   1836      = 32938 ltrs
Calculation wise                                                    = 44438 ltrs    
After Receive dip Reading                    2584      = 45065 ltrs 
differance getting extra                                       =     627 ltrs</t>
  </si>
  <si>
    <t xml:space="preserve"> </t>
  </si>
  <si>
    <r>
      <t xml:space="preserve">NOTE: 12.06.2026 
Receive desiel                                        50 X 230 = 11500 ltrs
Befor Receive dip Reading                   1836      = 32938 ltrs
Calculation wise                                                    = 44438 ltrs    
After Receive dip Reading                    2584      = 45065 ltrs 
differance getting extra                                       =     627 ltrs
</t>
    </r>
    <r>
      <rPr>
        <b/>
        <sz val="11"/>
        <color theme="1"/>
        <rFont val="Calibri"/>
        <family val="2"/>
        <scheme val="minor"/>
      </rPr>
      <t>on 18.06.2026 - 4414 Ltrs of Diesel lose due to inlet underground pipe damage</t>
    </r>
    <r>
      <rPr>
        <sz val="11"/>
        <color theme="1"/>
        <rFont val="Calibri"/>
        <family val="2"/>
        <scheme val="minor"/>
      </rPr>
      <t xml:space="preserve"> </t>
    </r>
  </si>
  <si>
    <t xml:space="preserve">  </t>
  </si>
  <si>
    <t>DIESEL ISSUED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</si>
</sst>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8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thick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1" fontId="0" fillId="0" borderId="0" xfId="0" applyNumberFormat="1"/>
    <xf numFmtId="0" fontId="1" fillId="2" borderId="9" xfId="0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18" fontId="0" fillId="0" borderId="5" xfId="0" applyNumberFormat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3" fillId="0" borderId="10" xfId="0" applyFont="1" applyBorder="1" applyAlignment="1">
      <alignment vertical="center" wrapText="1" readingOrder="1"/>
    </xf>
    <xf numFmtId="1" fontId="0" fillId="0" borderId="5" xfId="0" applyNumberForma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/>
    <xf numFmtId="1" fontId="0" fillId="0" borderId="7" xfId="0" applyNumberFormat="1" applyBorder="1" applyAlignment="1">
      <alignment horizontal="center" vertical="center"/>
    </xf>
    <xf numFmtId="0" fontId="0" fillId="0" borderId="5" xfId="0" applyBorder="1"/>
    <xf numFmtId="0" fontId="0" fillId="0" borderId="2" xfId="0" applyBorder="1"/>
    <xf numFmtId="0" fontId="2" fillId="0" borderId="12" xfId="0" applyFont="1" applyBorder="1" applyAlignment="1">
      <alignment vertical="center" wrapText="1"/>
    </xf>
    <xf numFmtId="14" fontId="2" fillId="0" borderId="11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3" fontId="5" fillId="4" borderId="5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0.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9BBFA2-2F77-42BF-9473-EA00078A9849}" name="Table11" displayName="Table11" ref="A1:P31" totalsRowShown="0" headerRowDxfId="88" headerRowBorderDxfId="87" tableBorderDxfId="86" totalsRowBorderDxfId="85">
  <tableColumns count="16">
    <tableColumn id="1" xr3:uid="{3B419577-373D-4E9B-865D-26BC24BCC615}" name="Date" dataDxfId="84"/>
    <tableColumn id="2" xr3:uid="{5575268A-18B4-4AE2-9F00-36D1511A2E6D}" name="Diesel Consumption_x000a_(LTRS)" dataDxfId="83">
      <calculatedColumnFormula>Table113456[[#This Row],[Consumption (Liters)]]</calculatedColumnFormula>
    </tableColumn>
    <tableColumn id="3" xr3:uid="{00AAC73E-FEE9-4099-90CC-AD25CF44EDE3}" name="Nepa Consumption (K.W.H)" dataDxfId="82">
      <calculatedColumnFormula>Table1135[[#This Row],[NEPA Consumption (KWH)]]</calculatedColumnFormula>
    </tableColumn>
    <tableColumn id="10" xr3:uid="{313A4B8D-183C-4F83-A86D-3CD48ADC1845}" name="Comp E75 -1_x000a_Run Hours" dataDxfId="81">
      <calculatedColumnFormula>Table113[[#This Row],[Comp E75 -1
Run Hours]]</calculatedColumnFormula>
    </tableColumn>
    <tableColumn id="6" xr3:uid="{FC904253-6127-4B62-B935-651E02B1293A}" name="Comp E75 -2_x000a_Run Hours" dataDxfId="80">
      <calculatedColumnFormula>Table113[[#This Row],[Comp E75 -2
Run Hours]]</calculatedColumnFormula>
    </tableColumn>
    <tableColumn id="15" xr3:uid="{12B9FD6D-172D-4CDB-BDB3-0A9E3BA16446}" name="Comp E75 -3_x000a_Run Hours" dataDxfId="79">
      <calculatedColumnFormula>Table113[[#This Row],[Comp E75 -3
Run Hours]]</calculatedColumnFormula>
    </tableColumn>
    <tableColumn id="12" xr3:uid="{A0F4AE96-9A17-42BA-9B5B-84D45CD84648}" name="Comp E55 Run Hours" dataDxfId="78">
      <calculatedColumnFormula>Table113[[#This Row],[Comp E55 Run Hours]]</calculatedColumnFormula>
    </tableColumn>
    <tableColumn id="4" xr3:uid="{F415F3B7-A57E-499C-8B46-6C9A7D82172D}" name="Milling DG Run Hours" dataDxfId="77">
      <calculatedColumnFormula>Table113456[[#This Row],[DG Milling Run Hours]]</calculatedColumnFormula>
    </tableColumn>
    <tableColumn id="5" xr3:uid="{68955937-3644-4050-9EDF-4E52B7CFD914}" name="Parboiling DG Run Hours" dataDxfId="76">
      <calculatedColumnFormula>Table113456[[#This Row],[DG Parboiling 
Run Hours]]</calculatedColumnFormula>
    </tableColumn>
    <tableColumn id="7" xr3:uid="{C4D043FF-C7EB-4BB0-8954-2A544A19C62E}" name="Admin DG Run Hours" dataDxfId="75"/>
    <tableColumn id="8" xr3:uid="{FEFAA4DB-594C-4D2D-8E6A-A610F11B7147}" name="Comp E75 -1_x000a_Rem Hours To Service" dataDxfId="74">
      <calculatedColumnFormula>Table113[[#This Row],[Comp E75 -1
Rem Hours To Service]]</calculatedColumnFormula>
    </tableColumn>
    <tableColumn id="9" xr3:uid="{1DE25C05-46D9-4B65-AE70-78DA35A8217F}" name="Comp E75 -2_x000a_Rem Hours To Service" dataDxfId="73">
      <calculatedColumnFormula>Table113[[#This Row],[Comp E75 -2
Rem Hours To Service]]</calculatedColumnFormula>
    </tableColumn>
    <tableColumn id="16" xr3:uid="{6F0D179B-4703-4BDC-82A3-B14CA4E4A6FB}" name="Comp E75 -3_x000a_Rem Hours To Service" dataDxfId="72">
      <calculatedColumnFormula>Table113[[#This Row],[Comp E75 -3
Rem Hours To Service]]</calculatedColumnFormula>
    </tableColumn>
    <tableColumn id="11" xr3:uid="{A2FF9DFF-8060-4CE8-AE11-84B96A017254}" name="Comp E55 Rem Hours To Service" dataDxfId="71">
      <calculatedColumnFormula>Table113[[#This Row],[Comp E55 Rem Hours To Service]]</calculatedColumnFormula>
    </tableColumn>
    <tableColumn id="13" xr3:uid="{92FAA2A0-6341-4E28-9D71-5BC42657B909}" name="Milling DG Rem Hours To Service" dataDxfId="70">
      <calculatedColumnFormula>Table113456[[#This Row],[Milling DG Rem Hours To Service]]</calculatedColumnFormula>
    </tableColumn>
    <tableColumn id="14" xr3:uid="{601CA706-7F81-44B1-92FE-7A67C20C29F5}" name="Parboiling DG Rem Hours _x000a_To Service" dataDxfId="69">
      <calculatedColumnFormula>Table113456[[#This Row],[Parboiling DG Rem Hours 
To Service]]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A0B8F6-1D49-4ED9-A151-8BA053CCE2F1}" name="Table113" displayName="Table113" ref="A1:Q32" totalsRowShown="0" headerRowDxfId="68" headerRowBorderDxfId="67" tableBorderDxfId="66" totalsRowBorderDxfId="65">
  <tableColumns count="17">
    <tableColumn id="1" xr3:uid="{BE1398C8-B50B-4A4B-BD0B-DED2C439368D}" name="Date" dataDxfId="64"/>
    <tableColumn id="10" xr3:uid="{7342E3C6-CA38-4E51-A5F6-1A10AF77FD68}" name="Comp E75 -1_x000a_Run Hours" dataDxfId="63"/>
    <tableColumn id="9" xr3:uid="{EB3C4631-153B-4218-AD54-0E8B1BB9E36B}" name="Comp E75 -1_x000a_Run Hr" dataDxfId="62"/>
    <tableColumn id="11" xr3:uid="{078094A9-A66F-4212-9300-4E6163E978CB}" name="Comp E75 -1_x000a_Rem Hours To Service" dataDxfId="61">
      <calculatedColumnFormula>$N$2-Table113[[#This Row],[Comp E75 -1
Run Hr]]</calculatedColumnFormula>
    </tableColumn>
    <tableColumn id="6" xr3:uid="{965F6003-75D7-451D-AA82-033E97BEEEAA}" name="Comp E75 -2_x000a_Run Hours" dataDxfId="60"/>
    <tableColumn id="27" xr3:uid="{BFAC37AC-5D2F-4AF1-AB99-9AA4513056A3}" name="Comp E75 -2_x000a_Run Hr" dataDxfId="59"/>
    <tableColumn id="8" xr3:uid="{EBBA555F-AE7F-4593-A8A5-3BB8D80222FE}" name="Comp E75 -2_x000a_Rem Hours To Service" dataDxfId="58">
      <calculatedColumnFormula>$O$2-Table113[[#This Row],[Comp E75 -2
Run Hr]]</calculatedColumnFormula>
    </tableColumn>
    <tableColumn id="5" xr3:uid="{4A2A7864-B360-4B32-BFAD-01EBBB4E5E6A}" name="Comp E75 -3_x000a_Run Hours" dataDxfId="57">
      <calculatedColumnFormula>Table113[[#This Row],[Comp E75 -2
Run Hr]]-I1</calculatedColumnFormula>
    </tableColumn>
    <tableColumn id="7" xr3:uid="{D2BE3A1C-7C27-463F-BDC5-050908355125}" name="Comp E75 -3_x000a_Run Hr" dataDxfId="56"/>
    <tableColumn id="14" xr3:uid="{61F682B3-B8E2-4235-BED7-270778EEB4AA}" name="Comp E75 -3_x000a_Rem Hours To Service" dataDxfId="55">
      <calculatedColumnFormula>$O$2-Table113[[#This Row],[Comp E75 -2
Run Hr]]</calculatedColumnFormula>
    </tableColumn>
    <tableColumn id="12" xr3:uid="{03E1E486-85BD-487F-8DFC-41F4991922AD}" name="Comp E55 Run Hours" dataDxfId="54"/>
    <tableColumn id="28" xr3:uid="{974A18C3-5054-4195-82AC-D651EE103F1A}" name="Comp E55 Run Hr" dataDxfId="53"/>
    <tableColumn id="13" xr3:uid="{1B3C9DA7-BFC3-4BB5-8904-7BD7D4B68A4A}" name="Comp E55 Rem Hours To Service" dataDxfId="52">
      <calculatedColumnFormula>$Q$2-Table113[[#This Row],[Comp E55 Run Hr]]</calculatedColumnFormula>
    </tableColumn>
    <tableColumn id="2" xr3:uid="{FC598EDF-41DC-4029-8E16-FB935382B71D}" name="Comp E75 -1_x000a_Next Ser_x000a_Hours" dataDxfId="51"/>
    <tableColumn id="3" xr3:uid="{A5DB482B-3616-4D17-B811-B419F975816F}" name="Comp E75 -2_x000a_Next Ser_x000a_Hours" dataDxfId="50"/>
    <tableColumn id="15" xr3:uid="{9F96BCF4-2887-4BF2-BA25-7225F4CE763F}" name="Comp E75 -3_x000a_Next Ser_x000a_Hours" dataDxfId="49"/>
    <tableColumn id="4" xr3:uid="{25BADD7F-FD04-4FBE-A24E-8CD365430733}" name="Comp E55_x000a_Next Ser_x000a_Hours" dataDxfId="4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662DC1-E94E-4583-A821-BCD636E17FBE}" name="Table113456" displayName="Table113456" ref="A1:S32" totalsRowShown="0" headerRowDxfId="47" dataDxfId="45" headerRowBorderDxfId="46" tableBorderDxfId="44" totalsRowBorderDxfId="43">
  <tableColumns count="19">
    <tableColumn id="1" xr3:uid="{FFA0CAE9-6D4C-42A7-9ED1-9D3CC33D3A39}" name="Date" dataDxfId="42"/>
    <tableColumn id="2" xr3:uid="{C302EA9C-DA8B-412B-AE71-A781D1B622CE}" name="TIME " dataDxfId="41"/>
    <tableColumn id="5" xr3:uid="{D9F96568-349C-4AA7-AB0F-260E523480C9}" name="Dip Stick Reading O/P Stock" dataDxfId="40"/>
    <tableColumn id="7" xr3:uid="{0AA56D76-3069-4C83-953E-B30DB045771F}" name="Dip Stick Reading C/L Stock" dataDxfId="39"/>
    <tableColumn id="4" xr3:uid="{D3129A11-A1B8-4A6D-834A-AC69225565F5}" name="Dip Stick Reading After receive Diesel" dataDxfId="38"/>
    <tableColumn id="10" xr3:uid="{64476532-3FE6-49F5-8E0B-0BD6CA0ED119}" name="Opening Stock (Liters)" dataDxfId="37"/>
    <tableColumn id="6" xr3:uid="{FCC68721-072F-4D5D-B8E1-3954B658D2B1}" name="Received (Liters)" dataDxfId="36"/>
    <tableColumn id="19" xr3:uid="{9B42DE32-164C-4C14-8BF4-F97B6BF2C2BB}" name="After receive Diesel _x000a_(Liters)" dataDxfId="35"/>
    <tableColumn id="3" xr3:uid="{CBED3DF0-8226-469E-A4CA-F5EA5D6E132C}" name="Consumption (Liters)" dataDxfId="34">
      <calculatedColumnFormula>Table113456[[#This Row],[Opening Stock (Liters)]]-Table113456[[#This Row],[Closing Stock (Liters)]]+Table113456[[#This Row],[Received (Liters)]]</calculatedColumnFormula>
    </tableColumn>
    <tableColumn id="18" xr3:uid="{A50BFBC1-8227-4B48-AA1F-6F8E79CD1C0D}" name="Closing Stock (Liters)" dataDxfId="33">
      <calculatedColumnFormula>VLOOKUP(D2,$V$2:$W$681,2,FALSE)</calculatedColumnFormula>
    </tableColumn>
    <tableColumn id="17" xr3:uid="{CFD3173E-76B1-4E34-A30A-B3FA4ACC46A1}" name="Service Tank" dataDxfId="32"/>
    <tableColumn id="8" xr3:uid="{7F04DC81-5069-4DDA-A637-A423C7C138BA}" name="DG Milling Run Hours" dataDxfId="31"/>
    <tableColumn id="11" xr3:uid="{580B9AB4-C99A-41C3-B937-29E2F1790229}" name="DG Milling Run Hr Meter" dataDxfId="30"/>
    <tableColumn id="9" xr3:uid="{F40CB500-25D6-460D-A899-6576FA1CCD91}" name="DG Parboiling _x000a_Run Hours" dataDxfId="29"/>
    <tableColumn id="12" xr3:uid="{F2A7E92E-9981-4CA6-A760-9EAA6B8F6A87}" name="DG Parboiling _x000a_Run Hr Meter" dataDxfId="28"/>
    <tableColumn id="13" xr3:uid="{AC74717D-E97A-482E-99D6-0AE3DDFA2E40}" name="Milling DG_x000a_Next Ser_x000a_Hours" dataDxfId="27"/>
    <tableColumn id="15" xr3:uid="{9F4BCD2A-3122-4E1A-8CA3-13B704768810}" name="Milling DG Rem Hours To Service" dataDxfId="26">
      <calculatedColumnFormula>Table113456[[#This Row],[Milling DG
Next Ser
Hours]]-Table113456[[#This Row],[DG Milling Run Hr Meter]]</calculatedColumnFormula>
    </tableColumn>
    <tableColumn id="14" xr3:uid="{595B1AE7-315D-435B-935A-C56EDF62DE48}" name="Parboiling DG_x000a_Next Ser_x000a_Hours" dataDxfId="25"/>
    <tableColumn id="16" xr3:uid="{8A238E10-DD1C-4167-B551-7ACD0DC7459A}" name="Parboiling DG Rem Hours _x000a_To Service" dataDxfId="24">
      <calculatedColumnFormula>Table113456[[#This Row],[Parboiling DG
Next Ser
Hours]]-Table113456[[#This Row],[DG Parboiling 
Run Hr Meter]]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29B24A-DD26-4A0E-80D4-14B28C147065}" name="Table1135" displayName="Table1135" ref="A1:K32" totalsRowShown="0" headerRowDxfId="23" headerRowBorderDxfId="22" tableBorderDxfId="21" totalsRowBorderDxfId="20">
  <tableColumns count="11">
    <tableColumn id="1" xr3:uid="{3C4EDD6F-2817-4DDB-989F-848A9ADE99C6}" name="Date" dataDxfId="19"/>
    <tableColumn id="2" xr3:uid="{9AD1B54B-AA7D-4154-B15C-894ACD69D0FC}" name="TIME " dataDxfId="18"/>
    <tableColumn id="10" xr3:uid="{7A6F0DA1-A116-4047-8796-802E1DACC31F}" name="NEPA INITIAL " dataDxfId="17"/>
    <tableColumn id="6" xr3:uid="{F8AADA79-9F82-4F2B-A86C-3763EBDDB195}" name="NEPA FINAL" dataDxfId="16"/>
    <tableColumn id="3" xr3:uid="{6B872856-AEB9-441B-A1F9-58FC30D5A96B}" name="NEPA Consumption (KWH)" dataDxfId="15">
      <calculatedColumnFormula>Table1135[[#This Row],[NEPA FINAL]]-Table1135[[#This Row],[NEPA INITIAL ]]</calculatedColumnFormula>
    </tableColumn>
    <tableColumn id="4" xr3:uid="{EB605483-C0C1-4693-966B-3F0092318F52}" name="MILLING + UTILITY / PARBOILING" dataDxfId="14">
      <calculatedColumnFormula>(Table1135[[#This Row],[MILLING]]-G1)+(Table1135[[#This Row],[UTILITY / PARBOILING]]-I1)</calculatedColumnFormula>
    </tableColumn>
    <tableColumn id="5" xr3:uid="{C0596434-445F-454C-81AF-2CE6D5BD2465}" name="MILLING" dataDxfId="13"/>
    <tableColumn id="9" xr3:uid="{54BB58FB-66F6-4D05-8AB5-D4B165F62041}" name="MILLING _x000a_CONSUMPTION" dataDxfId="12">
      <calculatedColumnFormula>Table1135[[#This Row],[MILLING]]-G1</calculatedColumnFormula>
    </tableColumn>
    <tableColumn id="7" xr3:uid="{59E30BC1-4313-4D95-8920-C70F26A8D0E5}" name="UTILITY / PARBOILING" dataDxfId="11"/>
    <tableColumn id="11" xr3:uid="{782482CD-78EB-42C5-9D73-DCF5C9569291}" name="UTILITY / PARBOILING_x000a_CONSUMPTION" dataDxfId="10">
      <calculatedColumnFormula>Table1135[[#This Row],[UTILITY / PARBOILING]]-I1</calculatedColumnFormula>
    </tableColumn>
    <tableColumn id="8" xr3:uid="{FD455A14-7C4B-4064-8C0D-F731C7080DB1}" name="DIFFERENCE" dataDxfId="9">
      <calculatedColumnFormula>Table1135[[#This Row],[NEPA Consumption (KWH)]]-Table1135[[#This Row],[MILLING + UTILITY / PARBOILING]]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C824C56-6FFF-4E69-B998-C1FD73FFFDF6}" name="Table8" displayName="Table8" ref="A1:F31" totalsRowShown="0" headerRowDxfId="8" dataDxfId="7" tableBorderDxfId="6">
  <tableColumns count="6">
    <tableColumn id="1" xr3:uid="{7FAF3893-543E-4BE8-9203-1555DE262A85}" name="Date" dataDxfId="5"/>
    <tableColumn id="2" xr3:uid="{38E8FEF4-7C73-4ED7-9D6C-64FBD7465D00}" name="FM Initial Reading" dataDxfId="4">
      <calculatedColumnFormula>'PowerHouse Data'!C12</calculatedColumnFormula>
    </tableColumn>
    <tableColumn id="3" xr3:uid="{AB8E90DD-7CAD-4EB5-8575-D49907571209}" name="FM Final reading" dataDxfId="3"/>
    <tableColumn id="4" xr3:uid="{15469A48-6E64-4F64-A7DD-6238968EFF9A}" name="Use FM (Litres)" dataDxfId="2">
      <calculatedColumnFormula>Table8[[#This Row],[FM Final reading]]-Table8[[#This Row],[FM Initial Reading]]</calculatedColumnFormula>
    </tableColumn>
    <tableColumn id="5" xr3:uid="{6CE97739-3932-44F4-A467-92B63BDCFD22}" name="Difference" dataDxfId="1">
      <calculatedColumnFormula>Table8[[#This Row],[Use dip (Litres)]]-Table8[[#This Row],[Use FM (Litres)]]</calculatedColumnFormula>
    </tableColumn>
    <tableColumn id="6" xr3:uid="{E34538BF-C241-4260-9CE5-F61324629813}" name="Use dip (Litres)" dataDxfId="0">
      <calculatedColumnFormula>Table113456[[#This Row],[Consumption (Liters)]]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4"/>
  <sheetViews>
    <sheetView tabSelected="1" topLeftCell="C1" zoomScale="102" zoomScaleNormal="70" workbookViewId="0">
      <pane ySplit="1" topLeftCell="A21" activePane="bottomLeft" state="frozen"/>
      <selection activeCell="C1" sqref="C1"/>
      <selection pane="bottomLeft" activeCell="A36" sqref="A36:E44"/>
    </sheetView>
  </sheetViews>
  <sheetFormatPr defaultRowHeight="14.5" x14ac:dyDescent="0.35"/>
  <cols>
    <col min="1" max="1" width="10.36328125" bestFit="1" customWidth="1"/>
    <col min="2" max="3" width="12.08984375" bestFit="1" customWidth="1"/>
    <col min="4" max="5" width="11.26953125" bestFit="1" customWidth="1"/>
    <col min="6" max="6" width="11.26953125" customWidth="1"/>
    <col min="7" max="7" width="11.26953125" bestFit="1" customWidth="1"/>
    <col min="8" max="8" width="9.6328125" bestFit="1" customWidth="1"/>
    <col min="9" max="9" width="12.26953125" bestFit="1" customWidth="1"/>
    <col min="10" max="10" width="9.54296875" hidden="1" customWidth="1"/>
    <col min="11" max="11" width="11.7265625" customWidth="1"/>
    <col min="12" max="12" width="11.26953125" bestFit="1" customWidth="1"/>
    <col min="13" max="13" width="11.26953125" customWidth="1"/>
    <col min="14" max="14" width="10.90625" bestFit="1" customWidth="1"/>
    <col min="15" max="15" width="11" customWidth="1"/>
    <col min="16" max="16" width="12.26953125" customWidth="1"/>
  </cols>
  <sheetData>
    <row r="1" spans="1:16" ht="43.5" x14ac:dyDescent="0.35">
      <c r="A1" s="1" t="s">
        <v>0</v>
      </c>
      <c r="B1" s="2" t="s">
        <v>68</v>
      </c>
      <c r="C1" s="2" t="s">
        <v>1</v>
      </c>
      <c r="D1" s="2" t="s">
        <v>5</v>
      </c>
      <c r="E1" s="2" t="s">
        <v>4</v>
      </c>
      <c r="F1" s="2" t="s">
        <v>51</v>
      </c>
      <c r="G1" s="2" t="s">
        <v>7</v>
      </c>
      <c r="H1" s="2" t="s">
        <v>2</v>
      </c>
      <c r="I1" s="3" t="s">
        <v>3</v>
      </c>
      <c r="J1" s="2" t="s">
        <v>6</v>
      </c>
      <c r="K1" s="2" t="s">
        <v>8</v>
      </c>
      <c r="L1" s="2" t="s">
        <v>9</v>
      </c>
      <c r="M1" s="2" t="s">
        <v>53</v>
      </c>
      <c r="N1" s="2" t="s">
        <v>12</v>
      </c>
      <c r="O1" s="2" t="s">
        <v>10</v>
      </c>
      <c r="P1" s="2" t="s">
        <v>11</v>
      </c>
    </row>
    <row r="2" spans="1:16" x14ac:dyDescent="0.35">
      <c r="A2" s="4">
        <v>46174</v>
      </c>
      <c r="B2" s="5">
        <f>Table113456[[#This Row],[Consumption (Liters)]]</f>
        <v>3596</v>
      </c>
      <c r="C2" s="5">
        <f>Table1135[[#This Row],[NEPA Consumption (KWH)]]</f>
        <v>5570</v>
      </c>
      <c r="D2" s="5">
        <f>Table113[[#This Row],[Comp E75 -1
Run Hours]]</f>
        <v>0</v>
      </c>
      <c r="E2" s="10">
        <f>Table113[[#This Row],[Comp E75 -2
Run Hours]]</f>
        <v>24</v>
      </c>
      <c r="F2" s="10">
        <f>Table113[[#This Row],[Comp E75 -3
Run Hours]]</f>
        <v>23</v>
      </c>
      <c r="G2" s="10">
        <f>Table113[[#This Row],[Comp E55 Run Hours]]</f>
        <v>0</v>
      </c>
      <c r="H2" s="13">
        <f>Table113456[[#This Row],[DG Milling Run Hours]]</f>
        <v>12</v>
      </c>
      <c r="I2" s="12">
        <f>Table113456[[#This Row],[DG Parboiling 
Run Hours]]</f>
        <v>12</v>
      </c>
      <c r="J2" s="9"/>
      <c r="K2" s="12">
        <f>Table113[[#This Row],[Comp E75 -1
Rem Hours To Service]]</f>
        <v>2079</v>
      </c>
      <c r="L2" s="12">
        <f>Table113[[#This Row],[Comp E75 -2
Rem Hours To Service]]</f>
        <v>2060</v>
      </c>
      <c r="M2" s="12">
        <f>Table113[[#This Row],[Comp E75 -3
Rem Hours To Service]]</f>
        <v>3828</v>
      </c>
      <c r="N2" s="12">
        <f>Table113[[#This Row],[Comp E55 Rem Hours To Service]]</f>
        <v>1205</v>
      </c>
      <c r="O2" s="12">
        <f>Table113456[[#This Row],[Milling DG Rem Hours To Service]]</f>
        <v>223.60000000000036</v>
      </c>
      <c r="P2" s="12">
        <f>Table113456[[#This Row],[Parboiling DG Rem Hours 
To Service]]</f>
        <v>207.29999999999927</v>
      </c>
    </row>
    <row r="3" spans="1:16" x14ac:dyDescent="0.35">
      <c r="A3" s="4">
        <v>46175</v>
      </c>
      <c r="B3" s="5">
        <f>Table113456[[#This Row],[Consumption (Liters)]]</f>
        <v>361</v>
      </c>
      <c r="C3" s="5">
        <f>Table1135[[#This Row],[NEPA Consumption (KWH)]]</f>
        <v>10900</v>
      </c>
      <c r="D3" s="5">
        <f>Table113[[#This Row],[Comp E75 -1
Run Hours]]</f>
        <v>0</v>
      </c>
      <c r="E3" s="10">
        <f>Table113[[#This Row],[Comp E75 -2
Run Hours]]</f>
        <v>24</v>
      </c>
      <c r="F3" s="10">
        <f>Table113[[#This Row],[Comp E75 -3
Run Hours]]</f>
        <v>24</v>
      </c>
      <c r="G3" s="10">
        <f>Table113[[#This Row],[Comp E55 Run Hours]]</f>
        <v>0</v>
      </c>
      <c r="H3" s="13">
        <f>Table113456[[#This Row],[DG Milling Run Hours]]</f>
        <v>1.7000000000007276</v>
      </c>
      <c r="I3" s="12">
        <f>Table113456[[#This Row],[DG Parboiling 
Run Hours]]</f>
        <v>1.6999999999989086</v>
      </c>
      <c r="J3" s="6"/>
      <c r="K3" s="12">
        <f>Table113[[#This Row],[Comp E75 -1
Rem Hours To Service]]</f>
        <v>2079</v>
      </c>
      <c r="L3" s="12">
        <f>Table113[[#This Row],[Comp E75 -2
Rem Hours To Service]]</f>
        <v>2036</v>
      </c>
      <c r="M3" s="12">
        <f>Table113[[#This Row],[Comp E75 -3
Rem Hours To Service]]</f>
        <v>3804</v>
      </c>
      <c r="N3" s="12">
        <f>Table113[[#This Row],[Comp E55 Rem Hours To Service]]</f>
        <v>1205</v>
      </c>
      <c r="O3" s="12">
        <f>Table113456[[#This Row],[Milling DG Rem Hours To Service]]</f>
        <v>221.89999999999964</v>
      </c>
      <c r="P3" s="12">
        <f>Table113456[[#This Row],[Parboiling DG Rem Hours 
To Service]]</f>
        <v>205.60000000000036</v>
      </c>
    </row>
    <row r="4" spans="1:16" x14ac:dyDescent="0.35">
      <c r="A4" s="4">
        <v>46176</v>
      </c>
      <c r="B4" s="5">
        <f>Table113456[[#This Row],[Consumption (Liters)]]</f>
        <v>218</v>
      </c>
      <c r="C4" s="5">
        <f>Table1135[[#This Row],[NEPA Consumption (KWH)]]</f>
        <v>9290</v>
      </c>
      <c r="D4" s="5">
        <f>Table113[[#This Row],[Comp E75 -1
Run Hours]]</f>
        <v>22</v>
      </c>
      <c r="E4" s="10">
        <f>Table113[[#This Row],[Comp E75 -2
Run Hours]]</f>
        <v>0</v>
      </c>
      <c r="F4" s="10">
        <f>Table113[[#This Row],[Comp E75 -3
Run Hours]]</f>
        <v>18</v>
      </c>
      <c r="G4" s="10">
        <f>Table113[[#This Row],[Comp E55 Run Hours]]</f>
        <v>0</v>
      </c>
      <c r="H4" s="13">
        <f>Table113456[[#This Row],[DG Milling Run Hours]]</f>
        <v>1</v>
      </c>
      <c r="I4" s="12">
        <f>Table113456[[#This Row],[DG Parboiling 
Run Hours]]</f>
        <v>1</v>
      </c>
      <c r="J4" s="6"/>
      <c r="K4" s="12">
        <f>Table113[[#This Row],[Comp E75 -1
Rem Hours To Service]]</f>
        <v>2057</v>
      </c>
      <c r="L4" s="12">
        <f>Table113[[#This Row],[Comp E75 -2
Rem Hours To Service]]</f>
        <v>2036</v>
      </c>
      <c r="M4" s="12">
        <f>Table113[[#This Row],[Comp E75 -3
Rem Hours To Service]]</f>
        <v>3786</v>
      </c>
      <c r="N4" s="12">
        <f>Table113[[#This Row],[Comp E55 Rem Hours To Service]]</f>
        <v>1205</v>
      </c>
      <c r="O4" s="12">
        <f>Table113456[[#This Row],[Milling DG Rem Hours To Service]]</f>
        <v>220.89999999999964</v>
      </c>
      <c r="P4" s="12">
        <f>Table113456[[#This Row],[Parboiling DG Rem Hours 
To Service]]</f>
        <v>204.60000000000036</v>
      </c>
    </row>
    <row r="5" spans="1:16" x14ac:dyDescent="0.35">
      <c r="A5" s="4">
        <v>46177</v>
      </c>
      <c r="B5" s="5">
        <f>Table113456[[#This Row],[Consumption (Liters)]]</f>
        <v>0</v>
      </c>
      <c r="C5" s="5">
        <f>Table1135[[#This Row],[NEPA Consumption (KWH)]]</f>
        <v>11460</v>
      </c>
      <c r="D5" s="5">
        <f>Table113[[#This Row],[Comp E75 -1
Run Hours]]</f>
        <v>23</v>
      </c>
      <c r="E5" s="10">
        <f>Table113[[#This Row],[Comp E75 -2
Run Hours]]</f>
        <v>24</v>
      </c>
      <c r="F5" s="10">
        <f>Table113[[#This Row],[Comp E75 -3
Run Hours]]</f>
        <v>0</v>
      </c>
      <c r="G5" s="10">
        <f>Table113[[#This Row],[Comp E55 Run Hours]]</f>
        <v>0</v>
      </c>
      <c r="H5" s="13">
        <f>Table113456[[#This Row],[DG Milling Run Hours]]</f>
        <v>0</v>
      </c>
      <c r="I5" s="12">
        <f>Table113456[[#This Row],[DG Parboiling 
Run Hours]]</f>
        <v>0</v>
      </c>
      <c r="J5" s="6"/>
      <c r="K5" s="12">
        <f>Table113[[#This Row],[Comp E75 -1
Rem Hours To Service]]</f>
        <v>2034</v>
      </c>
      <c r="L5" s="12">
        <f>Table113[[#This Row],[Comp E75 -2
Rem Hours To Service]]</f>
        <v>2012</v>
      </c>
      <c r="M5" s="12">
        <f>Table113[[#This Row],[Comp E75 -3
Rem Hours To Service]]</f>
        <v>3786</v>
      </c>
      <c r="N5" s="12">
        <f>Table113[[#This Row],[Comp E55 Rem Hours To Service]]</f>
        <v>1205</v>
      </c>
      <c r="O5" s="12">
        <f>Table113456[[#This Row],[Milling DG Rem Hours To Service]]</f>
        <v>220.89999999999964</v>
      </c>
      <c r="P5" s="12">
        <f>Table113456[[#This Row],[Parboiling DG Rem Hours 
To Service]]</f>
        <v>204.60000000000036</v>
      </c>
    </row>
    <row r="6" spans="1:16" x14ac:dyDescent="0.35">
      <c r="A6" s="4">
        <v>46178</v>
      </c>
      <c r="B6" s="5">
        <f>Table113456[[#This Row],[Consumption (Liters)]]</f>
        <v>0</v>
      </c>
      <c r="C6" s="5">
        <f>Table1135[[#This Row],[NEPA Consumption (KWH)]]</f>
        <v>11870</v>
      </c>
      <c r="D6" s="5">
        <f>Table113[[#This Row],[Comp E75 -1
Run Hours]]</f>
        <v>0</v>
      </c>
      <c r="E6" s="10">
        <f>Table113[[#This Row],[Comp E75 -2
Run Hours]]</f>
        <v>24</v>
      </c>
      <c r="F6" s="10">
        <f>Table113[[#This Row],[Comp E75 -3
Run Hours]]</f>
        <v>24</v>
      </c>
      <c r="G6" s="10">
        <f>Table113[[#This Row],[Comp E55 Run Hours]]</f>
        <v>0</v>
      </c>
      <c r="H6" s="13">
        <f>Table113456[[#This Row],[DG Milling Run Hours]]</f>
        <v>0</v>
      </c>
      <c r="I6" s="12">
        <f>Table113456[[#This Row],[DG Parboiling 
Run Hours]]</f>
        <v>0</v>
      </c>
      <c r="J6" s="6"/>
      <c r="K6" s="12">
        <f>Table113[[#This Row],[Comp E75 -1
Rem Hours To Service]]</f>
        <v>2034</v>
      </c>
      <c r="L6" s="12">
        <f>Table113[[#This Row],[Comp E75 -2
Rem Hours To Service]]</f>
        <v>1988</v>
      </c>
      <c r="M6" s="12">
        <f>Table113[[#This Row],[Comp E75 -3
Rem Hours To Service]]</f>
        <v>3762</v>
      </c>
      <c r="N6" s="12">
        <f>Table113[[#This Row],[Comp E55 Rem Hours To Service]]</f>
        <v>1205</v>
      </c>
      <c r="O6" s="12">
        <f>Table113456[[#This Row],[Milling DG Rem Hours To Service]]</f>
        <v>220.89999999999964</v>
      </c>
      <c r="P6" s="12">
        <f>Table113456[[#This Row],[Parboiling DG Rem Hours 
To Service]]</f>
        <v>204.60000000000036</v>
      </c>
    </row>
    <row r="7" spans="1:16" x14ac:dyDescent="0.35">
      <c r="A7" s="4">
        <v>46179</v>
      </c>
      <c r="B7" s="5">
        <f>Table113456[[#This Row],[Consumption (Liters)]]</f>
        <v>739</v>
      </c>
      <c r="C7" s="5">
        <f>Table1135[[#This Row],[NEPA Consumption (KWH)]]</f>
        <v>10550</v>
      </c>
      <c r="D7" s="5">
        <f>Table113[[#This Row],[Comp E75 -1
Run Hours]]</f>
        <v>23</v>
      </c>
      <c r="E7" s="10">
        <f>Table113[[#This Row],[Comp E75 -2
Run Hours]]</f>
        <v>0</v>
      </c>
      <c r="F7" s="10">
        <f>Table113[[#This Row],[Comp E75 -3
Run Hours]]</f>
        <v>23</v>
      </c>
      <c r="G7" s="10">
        <f>Table113[[#This Row],[Comp E55 Run Hours]]</f>
        <v>0</v>
      </c>
      <c r="H7" s="13">
        <f>Table113456[[#This Row],[DG Milling Run Hours]]</f>
        <v>2</v>
      </c>
      <c r="I7" s="12">
        <f>Table113456[[#This Row],[DG Parboiling 
Run Hours]]</f>
        <v>2</v>
      </c>
      <c r="J7" s="6"/>
      <c r="K7" s="12">
        <f>Table113[[#This Row],[Comp E75 -1
Rem Hours To Service]]</f>
        <v>2011</v>
      </c>
      <c r="L7" s="12">
        <f>Table113[[#This Row],[Comp E75 -2
Rem Hours To Service]]</f>
        <v>1988</v>
      </c>
      <c r="M7" s="12">
        <f>Table113[[#This Row],[Comp E75 -3
Rem Hours To Service]]</f>
        <v>3739</v>
      </c>
      <c r="N7" s="12">
        <f>Table113[[#This Row],[Comp E55 Rem Hours To Service]]</f>
        <v>1205</v>
      </c>
      <c r="O7" s="12">
        <f>Table113456[[#This Row],[Milling DG Rem Hours To Service]]</f>
        <v>218.89999999999964</v>
      </c>
      <c r="P7" s="12">
        <f>Table113456[[#This Row],[Parboiling DG Rem Hours 
To Service]]</f>
        <v>202.60000000000036</v>
      </c>
    </row>
    <row r="8" spans="1:16" x14ac:dyDescent="0.35">
      <c r="A8" s="4">
        <v>46180</v>
      </c>
      <c r="B8" s="7">
        <f>Table113456[[#This Row],[Consumption (Liters)]]</f>
        <v>1211</v>
      </c>
      <c r="C8" s="7">
        <f>Table1135[[#This Row],[NEPA Consumption (KWH)]]</f>
        <v>9340</v>
      </c>
      <c r="D8" s="5">
        <f>Table113[[#This Row],[Comp E75 -1
Run Hours]]</f>
        <v>10</v>
      </c>
      <c r="E8" s="10">
        <f>Table113[[#This Row],[Comp E75 -2
Run Hours]]</f>
        <v>23</v>
      </c>
      <c r="F8" s="10">
        <f>Table113[[#This Row],[Comp E75 -3
Run Hours]]</f>
        <v>11</v>
      </c>
      <c r="G8" s="10">
        <f>Table113[[#This Row],[Comp E55 Run Hours]]</f>
        <v>1</v>
      </c>
      <c r="H8" s="13">
        <f>Table113456[[#This Row],[DG Milling Run Hours]]</f>
        <v>3.5</v>
      </c>
      <c r="I8" s="12">
        <f>Table113456[[#This Row],[DG Parboiling 
Run Hours]]</f>
        <v>3.5</v>
      </c>
      <c r="J8" s="11"/>
      <c r="K8" s="12">
        <f>Table113[[#This Row],[Comp E75 -1
Rem Hours To Service]]</f>
        <v>2001</v>
      </c>
      <c r="L8" s="12">
        <f>Table113[[#This Row],[Comp E75 -2
Rem Hours To Service]]</f>
        <v>1965</v>
      </c>
      <c r="M8" s="12">
        <f>Table113[[#This Row],[Comp E75 -3
Rem Hours To Service]]</f>
        <v>3728</v>
      </c>
      <c r="N8" s="12">
        <f>Table113[[#This Row],[Comp E55 Rem Hours To Service]]</f>
        <v>1204</v>
      </c>
      <c r="O8" s="12">
        <f>Table113456[[#This Row],[Milling DG Rem Hours To Service]]</f>
        <v>215.39999999999964</v>
      </c>
      <c r="P8" s="12">
        <f>Table113456[[#This Row],[Parboiling DG Rem Hours 
To Service]]</f>
        <v>199.10000000000036</v>
      </c>
    </row>
    <row r="9" spans="1:16" x14ac:dyDescent="0.35">
      <c r="A9" s="4">
        <v>46181</v>
      </c>
      <c r="B9" s="5">
        <f>Table113456[[#This Row],[Consumption (Liters)]]</f>
        <v>541</v>
      </c>
      <c r="C9" s="5">
        <f>Table1135[[#This Row],[NEPA Consumption (KWH)]]</f>
        <v>3610</v>
      </c>
      <c r="D9" s="5">
        <f>Table113[[#This Row],[Comp E75 -1
Run Hours]]</f>
        <v>0</v>
      </c>
      <c r="E9" s="10">
        <f>Table113[[#This Row],[Comp E75 -2
Run Hours]]</f>
        <v>0</v>
      </c>
      <c r="F9" s="10">
        <f>Table113[[#This Row],[Comp E75 -3
Run Hours]]</f>
        <v>0</v>
      </c>
      <c r="G9" s="10">
        <f>Table113[[#This Row],[Comp E55 Run Hours]]</f>
        <v>24</v>
      </c>
      <c r="H9" s="13">
        <f>Table113456[[#This Row],[DG Milling Run Hours]]</f>
        <v>0</v>
      </c>
      <c r="I9" s="12">
        <f>Table113456[[#This Row],[DG Parboiling 
Run Hours]]</f>
        <v>5.3999999999996362</v>
      </c>
      <c r="J9" s="6"/>
      <c r="K9" s="12">
        <f>Table113[[#This Row],[Comp E75 -1
Rem Hours To Service]]</f>
        <v>2001</v>
      </c>
      <c r="L9" s="12">
        <f>Table113[[#This Row],[Comp E75 -2
Rem Hours To Service]]</f>
        <v>1965</v>
      </c>
      <c r="M9" s="12">
        <f>Table113[[#This Row],[Comp E75 -3
Rem Hours To Service]]</f>
        <v>3728</v>
      </c>
      <c r="N9" s="12">
        <f>Table113[[#This Row],[Comp E55 Rem Hours To Service]]</f>
        <v>1180</v>
      </c>
      <c r="O9" s="12">
        <f>Table113456[[#This Row],[Milling DG Rem Hours To Service]]</f>
        <v>215.39999999999964</v>
      </c>
      <c r="P9" s="12">
        <f>Table113456[[#This Row],[Parboiling DG Rem Hours 
To Service]]</f>
        <v>193.70000000000073</v>
      </c>
    </row>
    <row r="10" spans="1:16" x14ac:dyDescent="0.35">
      <c r="A10" s="4">
        <v>46182</v>
      </c>
      <c r="B10" s="5">
        <f>Table113456[[#This Row],[Consumption (Liters)]]</f>
        <v>389</v>
      </c>
      <c r="C10" s="5">
        <f>Table1135[[#This Row],[NEPA Consumption (KWH)]]</f>
        <v>10420</v>
      </c>
      <c r="D10" s="5">
        <f>Table113[[#This Row],[Comp E75 -1
Run Hours]]</f>
        <v>23</v>
      </c>
      <c r="E10" s="10">
        <f>Table113[[#This Row],[Comp E75 -2
Run Hours]]</f>
        <v>24</v>
      </c>
      <c r="F10" s="10">
        <f>Table113[[#This Row],[Comp E75 -3
Run Hours]]</f>
        <v>0</v>
      </c>
      <c r="G10" s="10">
        <f>Table113[[#This Row],[Comp E55 Run Hours]]</f>
        <v>0</v>
      </c>
      <c r="H10" s="13">
        <f>Table113456[[#This Row],[DG Milling Run Hours]]</f>
        <v>1.5999999999994543</v>
      </c>
      <c r="I10" s="12">
        <f>Table113456[[#This Row],[DG Parboiling 
Run Hours]]</f>
        <v>1.6000000000003638</v>
      </c>
      <c r="J10" s="6"/>
      <c r="K10" s="12">
        <f>Table113[[#This Row],[Comp E75 -1
Rem Hours To Service]]</f>
        <v>1978</v>
      </c>
      <c r="L10" s="12">
        <f>Table113[[#This Row],[Comp E75 -2
Rem Hours To Service]]</f>
        <v>1941</v>
      </c>
      <c r="M10" s="12">
        <f>Table113[[#This Row],[Comp E75 -3
Rem Hours To Service]]</f>
        <v>3728</v>
      </c>
      <c r="N10" s="12">
        <f>Table113[[#This Row],[Comp E55 Rem Hours To Service]]</f>
        <v>1180</v>
      </c>
      <c r="O10" s="12">
        <f>Table113456[[#This Row],[Milling DG Rem Hours To Service]]</f>
        <v>213.80000000000018</v>
      </c>
      <c r="P10" s="12">
        <f>Table113456[[#This Row],[Parboiling DG Rem Hours 
To Service]]</f>
        <v>192.10000000000036</v>
      </c>
    </row>
    <row r="11" spans="1:16" x14ac:dyDescent="0.35">
      <c r="A11" s="4">
        <v>46183</v>
      </c>
      <c r="B11" s="5">
        <f>Table113456[[#This Row],[Consumption (Liters)]]</f>
        <v>0</v>
      </c>
      <c r="C11" s="5">
        <f>Table1135[[#This Row],[NEPA Consumption (KWH)]]</f>
        <v>11830</v>
      </c>
      <c r="D11" s="5">
        <f>Table113[[#This Row],[Comp E75 -1
Run Hours]]</f>
        <v>0</v>
      </c>
      <c r="E11" s="10">
        <f>Table113[[#This Row],[Comp E75 -2
Run Hours]]</f>
        <v>23</v>
      </c>
      <c r="F11" s="10">
        <f>Table113[[#This Row],[Comp E75 -3
Run Hours]]</f>
        <v>24</v>
      </c>
      <c r="G11" s="10">
        <f>Table113[[#This Row],[Comp E55 Run Hours]]</f>
        <v>0</v>
      </c>
      <c r="H11" s="13">
        <f>Table113456[[#This Row],[DG Milling Run Hours]]</f>
        <v>0</v>
      </c>
      <c r="I11" s="12">
        <f>Table113456[[#This Row],[DG Parboiling 
Run Hours]]</f>
        <v>0</v>
      </c>
      <c r="J11" s="6"/>
      <c r="K11" s="12">
        <f>Table113[[#This Row],[Comp E75 -1
Rem Hours To Service]]</f>
        <v>1978</v>
      </c>
      <c r="L11" s="12">
        <f>Table113[[#This Row],[Comp E75 -2
Rem Hours To Service]]</f>
        <v>1918</v>
      </c>
      <c r="M11" s="12">
        <f>Table113[[#This Row],[Comp E75 -3
Rem Hours To Service]]</f>
        <v>3704</v>
      </c>
      <c r="N11" s="12">
        <f>Table113[[#This Row],[Comp E55 Rem Hours To Service]]</f>
        <v>1180</v>
      </c>
      <c r="O11" s="12">
        <f>Table113456[[#This Row],[Milling DG Rem Hours To Service]]</f>
        <v>213.80000000000018</v>
      </c>
      <c r="P11" s="12">
        <f>Table113456[[#This Row],[Parboiling DG Rem Hours 
To Service]]</f>
        <v>192.10000000000036</v>
      </c>
    </row>
    <row r="12" spans="1:16" x14ac:dyDescent="0.35">
      <c r="A12" s="4">
        <v>46184</v>
      </c>
      <c r="B12" s="5">
        <f>Table113456[[#This Row],[Consumption (Liters)]]</f>
        <v>1506</v>
      </c>
      <c r="C12" s="5">
        <f>Table1135[[#This Row],[NEPA Consumption (KWH)]]</f>
        <v>8880</v>
      </c>
      <c r="D12" s="5">
        <f>Table113[[#This Row],[Comp E75 -1
Run Hours]]</f>
        <v>23</v>
      </c>
      <c r="E12" s="10">
        <f>Table113[[#This Row],[Comp E75 -2
Run Hours]]</f>
        <v>0</v>
      </c>
      <c r="F12" s="10">
        <f>Table113[[#This Row],[Comp E75 -3
Run Hours]]</f>
        <v>24</v>
      </c>
      <c r="G12" s="10">
        <f>Table113[[#This Row],[Comp E55 Run Hours]]</f>
        <v>0</v>
      </c>
      <c r="H12" s="13">
        <f>Table113456[[#This Row],[DG Milling Run Hours]]</f>
        <v>0</v>
      </c>
      <c r="I12" s="12">
        <f>Table113456[[#This Row],[DG Parboiling 
Run Hours]]</f>
        <v>11.399999999999636</v>
      </c>
      <c r="J12" s="6"/>
      <c r="K12" s="12">
        <f>Table113[[#This Row],[Comp E75 -1
Rem Hours To Service]]</f>
        <v>1955</v>
      </c>
      <c r="L12" s="12">
        <f>Table113[[#This Row],[Comp E75 -2
Rem Hours To Service]]</f>
        <v>1918</v>
      </c>
      <c r="M12" s="12">
        <f>Table113[[#This Row],[Comp E75 -3
Rem Hours To Service]]</f>
        <v>3680</v>
      </c>
      <c r="N12" s="12">
        <f>Table113[[#This Row],[Comp E55 Rem Hours To Service]]</f>
        <v>1180</v>
      </c>
      <c r="O12" s="12">
        <f>Table113456[[#This Row],[Milling DG Rem Hours To Service]]</f>
        <v>213.80000000000018</v>
      </c>
      <c r="P12" s="12">
        <f>Table113456[[#This Row],[Parboiling DG Rem Hours 
To Service]]</f>
        <v>180.70000000000073</v>
      </c>
    </row>
    <row r="13" spans="1:16" x14ac:dyDescent="0.35">
      <c r="A13" s="4">
        <v>46185</v>
      </c>
      <c r="B13" s="5">
        <f>Table113456[[#This Row],[Consumption (Liters)]]</f>
        <v>322</v>
      </c>
      <c r="C13" s="5">
        <f>Table1135[[#This Row],[NEPA Consumption (KWH)]]</f>
        <v>11110</v>
      </c>
      <c r="D13" s="5">
        <f>Table113[[#This Row],[Comp E75 -1
Run Hours]]</f>
        <v>23</v>
      </c>
      <c r="E13" s="10">
        <f>Table113[[#This Row],[Comp E75 -2
Run Hours]]</f>
        <v>24</v>
      </c>
      <c r="F13" s="10">
        <f>Table113[[#This Row],[Comp E75 -3
Run Hours]]</f>
        <v>0</v>
      </c>
      <c r="G13" s="10">
        <f>Table113[[#This Row],[Comp E55 Run Hours]]</f>
        <v>0</v>
      </c>
      <c r="H13" s="13">
        <f>Table113456[[#This Row],[DG Milling Run Hours]]</f>
        <v>0</v>
      </c>
      <c r="I13" s="12">
        <f>Table113456[[#This Row],[DG Parboiling 
Run Hours]]</f>
        <v>4</v>
      </c>
      <c r="J13" s="6"/>
      <c r="K13" s="12">
        <f>Table113[[#This Row],[Comp E75 -1
Rem Hours To Service]]</f>
        <v>1932</v>
      </c>
      <c r="L13" s="12">
        <f>Table113[[#This Row],[Comp E75 -2
Rem Hours To Service]]</f>
        <v>1894</v>
      </c>
      <c r="M13" s="12">
        <f>Table113[[#This Row],[Comp E75 -3
Rem Hours To Service]]</f>
        <v>3680</v>
      </c>
      <c r="N13" s="12">
        <f>Table113[[#This Row],[Comp E55 Rem Hours To Service]]</f>
        <v>1180</v>
      </c>
      <c r="O13" s="12">
        <f>Table113456[[#This Row],[Milling DG Rem Hours To Service]]</f>
        <v>213.80000000000018</v>
      </c>
      <c r="P13" s="12">
        <f>Table113456[[#This Row],[Parboiling DG Rem Hours 
To Service]]</f>
        <v>176.70000000000073</v>
      </c>
    </row>
    <row r="14" spans="1:16" x14ac:dyDescent="0.35">
      <c r="A14" s="4">
        <v>46186</v>
      </c>
      <c r="B14" s="5">
        <f>Table113456[[#This Row],[Consumption (Liters)]]</f>
        <v>493</v>
      </c>
      <c r="C14" s="5">
        <f>Table1135[[#This Row],[NEPA Consumption (KWH)]]</f>
        <v>10910</v>
      </c>
      <c r="D14" s="5">
        <f>Table113[[#This Row],[Comp E75 -1
Run Hours]]</f>
        <v>0</v>
      </c>
      <c r="E14" s="10">
        <f>Table113[[#This Row],[Comp E75 -2
Run Hours]]</f>
        <v>24</v>
      </c>
      <c r="F14" s="10">
        <f>Table113[[#This Row],[Comp E75 -3
Run Hours]]</f>
        <v>24</v>
      </c>
      <c r="G14" s="10">
        <f>Table113[[#This Row],[Comp E55 Run Hours]]</f>
        <v>0</v>
      </c>
      <c r="H14" s="13">
        <f>Table113456[[#This Row],[DG Milling Run Hours]]</f>
        <v>1.1000000000003638</v>
      </c>
      <c r="I14" s="12">
        <f>Table113456[[#This Row],[DG Parboiling 
Run Hours]]</f>
        <v>1.1000000000003638</v>
      </c>
      <c r="J14" s="6"/>
      <c r="K14" s="12">
        <f>Table113[[#This Row],[Comp E75 -1
Rem Hours To Service]]</f>
        <v>1932</v>
      </c>
      <c r="L14" s="12">
        <f>Table113[[#This Row],[Comp E75 -2
Rem Hours To Service]]</f>
        <v>1870</v>
      </c>
      <c r="M14" s="12">
        <f>Table113[[#This Row],[Comp E75 -3
Rem Hours To Service]]</f>
        <v>3656</v>
      </c>
      <c r="N14" s="12">
        <f>Table113[[#This Row],[Comp E55 Rem Hours To Service]]</f>
        <v>1180</v>
      </c>
      <c r="O14" s="12">
        <f>Table113456[[#This Row],[Milling DG Rem Hours To Service]]</f>
        <v>212.69999999999982</v>
      </c>
      <c r="P14" s="12">
        <f>Table113456[[#This Row],[Parboiling DG Rem Hours 
To Service]]</f>
        <v>175.60000000000036</v>
      </c>
    </row>
    <row r="15" spans="1:16" x14ac:dyDescent="0.35">
      <c r="A15" s="4">
        <v>46187</v>
      </c>
      <c r="B15" s="5">
        <f>Table113456[[#This Row],[Consumption (Liters)]]</f>
        <v>178</v>
      </c>
      <c r="C15" s="5">
        <f>Table1135[[#This Row],[NEPA Consumption (KWH)]]</f>
        <v>9200</v>
      </c>
      <c r="D15" s="5">
        <f>Table113[[#This Row],[Comp E75 -1
Run Hours]]</f>
        <v>18</v>
      </c>
      <c r="E15" s="10">
        <f>Table113[[#This Row],[Comp E75 -2
Run Hours]]</f>
        <v>0</v>
      </c>
      <c r="F15" s="10">
        <f>Table113[[#This Row],[Comp E75 -3
Run Hours]]</f>
        <v>20</v>
      </c>
      <c r="G15" s="10">
        <f>Table113[[#This Row],[Comp E55 Run Hours]]</f>
        <v>0</v>
      </c>
      <c r="H15" s="13">
        <f>Table113456[[#This Row],[DG Milling Run Hours]]</f>
        <v>0.5999999999994543</v>
      </c>
      <c r="I15" s="12">
        <f>Table113456[[#This Row],[DG Parboiling 
Run Hours]]</f>
        <v>0.6000000000003638</v>
      </c>
      <c r="J15" s="6"/>
      <c r="K15" s="12">
        <f>Table113[[#This Row],[Comp E75 -1
Rem Hours To Service]]</f>
        <v>1914</v>
      </c>
      <c r="L15" s="12">
        <f>Table113[[#This Row],[Comp E75 -2
Rem Hours To Service]]</f>
        <v>1870</v>
      </c>
      <c r="M15" s="12">
        <f>Table113[[#This Row],[Comp E75 -3
Rem Hours To Service]]</f>
        <v>3636</v>
      </c>
      <c r="N15" s="12">
        <f>Table113[[#This Row],[Comp E55 Rem Hours To Service]]</f>
        <v>1180</v>
      </c>
      <c r="O15" s="12">
        <f>Table113456[[#This Row],[Milling DG Rem Hours To Service]]</f>
        <v>212.10000000000036</v>
      </c>
      <c r="P15" s="12">
        <f>Table113456[[#This Row],[Parboiling DG Rem Hours 
To Service]]</f>
        <v>175</v>
      </c>
    </row>
    <row r="16" spans="1:16" x14ac:dyDescent="0.35">
      <c r="A16" s="4">
        <v>46188</v>
      </c>
      <c r="B16" s="5">
        <f>Table113456[[#This Row],[Consumption (Liters)]]</f>
        <v>1195</v>
      </c>
      <c r="C16" s="5">
        <f>Table1135[[#This Row],[NEPA Consumption (KWH)]]</f>
        <v>3200</v>
      </c>
      <c r="D16" s="5">
        <f>Table113[[#This Row],[Comp E75 -1
Run Hours]]</f>
        <v>4</v>
      </c>
      <c r="E16" s="10">
        <f>Table113[[#This Row],[Comp E75 -2
Run Hours]]</f>
        <v>10</v>
      </c>
      <c r="F16" s="10">
        <f>Table113[[#This Row],[Comp E75 -3
Run Hours]]</f>
        <v>3</v>
      </c>
      <c r="G16" s="10">
        <f>Table113[[#This Row],[Comp E55 Run Hours]]</f>
        <v>10</v>
      </c>
      <c r="H16" s="13">
        <f>Table113456[[#This Row],[DG Milling Run Hours]]</f>
        <v>5.3000000000001819</v>
      </c>
      <c r="I16" s="12">
        <f>Table113456[[#This Row],[DG Parboiling 
Run Hours]]</f>
        <v>7</v>
      </c>
      <c r="J16" s="6"/>
      <c r="K16" s="12">
        <f>Table113[[#This Row],[Comp E75 -1
Rem Hours To Service]]</f>
        <v>1910</v>
      </c>
      <c r="L16" s="12">
        <f>Table113[[#This Row],[Comp E75 -2
Rem Hours To Service]]</f>
        <v>1860</v>
      </c>
      <c r="M16" s="12">
        <f>Table113[[#This Row],[Comp E75 -3
Rem Hours To Service]]</f>
        <v>3633</v>
      </c>
      <c r="N16" s="12">
        <f>Table113[[#This Row],[Comp E55 Rem Hours To Service]]</f>
        <v>1170</v>
      </c>
      <c r="O16" s="12">
        <f>Table113456[[#This Row],[Milling DG Rem Hours To Service]]</f>
        <v>206.80000000000018</v>
      </c>
      <c r="P16" s="12">
        <f>Table113456[[#This Row],[Parboiling DG Rem Hours 
To Service]]</f>
        <v>168</v>
      </c>
    </row>
    <row r="17" spans="1:16" x14ac:dyDescent="0.35">
      <c r="A17" s="4">
        <v>46189</v>
      </c>
      <c r="B17" s="5">
        <f>Table113456[[#This Row],[Consumption (Liters)]]</f>
        <v>0</v>
      </c>
      <c r="C17" s="5">
        <f>Table1135[[#This Row],[NEPA Consumption (KWH)]]</f>
        <v>9210</v>
      </c>
      <c r="D17" s="5">
        <f>Table113[[#This Row],[Comp E75 -1
Run Hours]]</f>
        <v>0</v>
      </c>
      <c r="E17" s="10">
        <f>Table113[[#This Row],[Comp E75 -2
Run Hours]]</f>
        <v>23</v>
      </c>
      <c r="F17" s="10">
        <f>Table113[[#This Row],[Comp E75 -3
Run Hours]]</f>
        <v>22</v>
      </c>
      <c r="G17" s="10">
        <f>Table113[[#This Row],[Comp E55 Run Hours]]</f>
        <v>2</v>
      </c>
      <c r="H17" s="13">
        <f>Table113456[[#This Row],[DG Milling Run Hours]]</f>
        <v>0</v>
      </c>
      <c r="I17" s="12">
        <f>Table113456[[#This Row],[DG Parboiling 
Run Hours]]</f>
        <v>0</v>
      </c>
      <c r="J17" s="6"/>
      <c r="K17" s="12">
        <f>Table113[[#This Row],[Comp E75 -1
Rem Hours To Service]]</f>
        <v>1910</v>
      </c>
      <c r="L17" s="12">
        <f>Table113[[#This Row],[Comp E75 -2
Rem Hours To Service]]</f>
        <v>1837</v>
      </c>
      <c r="M17" s="12">
        <f>Table113[[#This Row],[Comp E75 -3
Rem Hours To Service]]</f>
        <v>3611</v>
      </c>
      <c r="N17" s="12">
        <f>Table113[[#This Row],[Comp E55 Rem Hours To Service]]</f>
        <v>1168</v>
      </c>
      <c r="O17" s="12">
        <f>Table113456[[#This Row],[Milling DG Rem Hours To Service]]</f>
        <v>206.80000000000018</v>
      </c>
      <c r="P17" s="12">
        <f>Table113456[[#This Row],[Parboiling DG Rem Hours 
To Service]]</f>
        <v>168</v>
      </c>
    </row>
    <row r="18" spans="1:16" x14ac:dyDescent="0.35">
      <c r="A18" s="4">
        <v>46190</v>
      </c>
      <c r="B18" s="5">
        <f>Table113456[[#This Row],[Consumption (Liters)]]</f>
        <v>274</v>
      </c>
      <c r="C18" s="5">
        <f>Table1135[[#This Row],[NEPA Consumption (KWH)]]</f>
        <v>9670</v>
      </c>
      <c r="D18" s="5">
        <f>Table113[[#This Row],[Comp E75 -1
Run Hours]]</f>
        <v>23</v>
      </c>
      <c r="E18" s="10">
        <f>Table113[[#This Row],[Comp E75 -2
Run Hours]]</f>
        <v>0</v>
      </c>
      <c r="F18" s="10">
        <f>Table113[[#This Row],[Comp E75 -3
Run Hours]]</f>
        <v>24</v>
      </c>
      <c r="G18" s="10">
        <f>Table113[[#This Row],[Comp E55 Run Hours]]</f>
        <v>0</v>
      </c>
      <c r="H18" s="13">
        <f>Table113456[[#This Row],[DG Milling Run Hours]]</f>
        <v>1.6999999999998181</v>
      </c>
      <c r="I18" s="12">
        <f>Table113456[[#This Row],[DG Parboiling 
Run Hours]]</f>
        <v>0</v>
      </c>
      <c r="J18" s="6"/>
      <c r="K18" s="12">
        <f>Table113[[#This Row],[Comp E75 -1
Rem Hours To Service]]</f>
        <v>1887</v>
      </c>
      <c r="L18" s="12">
        <f>Table113[[#This Row],[Comp E75 -2
Rem Hours To Service]]</f>
        <v>1837</v>
      </c>
      <c r="M18" s="12">
        <f>Table113[[#This Row],[Comp E75 -3
Rem Hours To Service]]</f>
        <v>3587</v>
      </c>
      <c r="N18" s="12">
        <f>Table113[[#This Row],[Comp E55 Rem Hours To Service]]</f>
        <v>1168</v>
      </c>
      <c r="O18" s="12">
        <f>Table113456[[#This Row],[Milling DG Rem Hours To Service]]</f>
        <v>205.10000000000036</v>
      </c>
      <c r="P18" s="12">
        <f>Table113456[[#This Row],[Parboiling DG Rem Hours 
To Service]]</f>
        <v>168</v>
      </c>
    </row>
    <row r="19" spans="1:16" x14ac:dyDescent="0.35">
      <c r="A19" s="4">
        <v>46191</v>
      </c>
      <c r="B19" s="5">
        <f>Table113456[[#This Row],[Consumption (Liters)]]</f>
        <v>0</v>
      </c>
      <c r="C19" s="5">
        <f>Table1135[[#This Row],[NEPA Consumption (KWH)]]</f>
        <v>12620</v>
      </c>
      <c r="D19" s="5">
        <f>Table113[[#This Row],[Comp E75 -1
Run Hours]]</f>
        <v>24</v>
      </c>
      <c r="E19" s="10">
        <f>Table113[[#This Row],[Comp E75 -2
Run Hours]]</f>
        <v>24</v>
      </c>
      <c r="F19" s="10">
        <f>Table113[[#This Row],[Comp E75 -3
Run Hours]]</f>
        <v>0</v>
      </c>
      <c r="G19" s="10">
        <f>Table113[[#This Row],[Comp E55 Run Hours]]</f>
        <v>0</v>
      </c>
      <c r="H19" s="13">
        <f>Table113456[[#This Row],[DG Milling Run Hours]]</f>
        <v>0</v>
      </c>
      <c r="I19" s="12">
        <f>Table113456[[#This Row],[DG Parboiling 
Run Hours]]</f>
        <v>0</v>
      </c>
      <c r="J19" s="6"/>
      <c r="K19" s="12">
        <f>Table113[[#This Row],[Comp E75 -1
Rem Hours To Service]]</f>
        <v>1863</v>
      </c>
      <c r="L19" s="12">
        <f>Table113[[#This Row],[Comp E75 -2
Rem Hours To Service]]</f>
        <v>1813</v>
      </c>
      <c r="M19" s="12">
        <f>Table113[[#This Row],[Comp E75 -3
Rem Hours To Service]]</f>
        <v>3587</v>
      </c>
      <c r="N19" s="12">
        <f>Table113[[#This Row],[Comp E55 Rem Hours To Service]]</f>
        <v>1168</v>
      </c>
      <c r="O19" s="12">
        <f>Table113456[[#This Row],[Milling DG Rem Hours To Service]]</f>
        <v>205.10000000000036</v>
      </c>
      <c r="P19" s="12">
        <f>Table113456[[#This Row],[Parboiling DG Rem Hours 
To Service]]</f>
        <v>168</v>
      </c>
    </row>
    <row r="20" spans="1:16" x14ac:dyDescent="0.35">
      <c r="A20" s="4">
        <v>46192</v>
      </c>
      <c r="B20" s="5">
        <f>Table113456[[#This Row],[Consumption (Liters)]]</f>
        <v>4414</v>
      </c>
      <c r="C20" s="5">
        <f>Table1135[[#This Row],[NEPA Consumption (KWH)]]</f>
        <v>11400</v>
      </c>
      <c r="D20" s="5">
        <f>Table113[[#This Row],[Comp E75 -1
Run Hours]]</f>
        <v>0</v>
      </c>
      <c r="E20" s="10">
        <f>Table113[[#This Row],[Comp E75 -2
Run Hours]]</f>
        <v>23</v>
      </c>
      <c r="F20" s="10">
        <f>Table113[[#This Row],[Comp E75 -3
Run Hours]]</f>
        <v>24</v>
      </c>
      <c r="G20" s="10">
        <f>Table113[[#This Row],[Comp E55 Run Hours]]</f>
        <v>0</v>
      </c>
      <c r="H20" s="13">
        <f>Table113456[[#This Row],[DG Milling Run Hours]]</f>
        <v>0.9000000000005457</v>
      </c>
      <c r="I20" s="12">
        <f>Table113456[[#This Row],[DG Parboiling 
Run Hours]]</f>
        <v>0.8999999999996362</v>
      </c>
      <c r="J20" s="6"/>
      <c r="K20" s="12">
        <f>Table113[[#This Row],[Comp E75 -1
Rem Hours To Service]]</f>
        <v>1863</v>
      </c>
      <c r="L20" s="12">
        <f>Table113[[#This Row],[Comp E75 -2
Rem Hours To Service]]</f>
        <v>1790</v>
      </c>
      <c r="M20" s="12">
        <f>Table113[[#This Row],[Comp E75 -3
Rem Hours To Service]]</f>
        <v>3563</v>
      </c>
      <c r="N20" s="12">
        <f>Table113[[#This Row],[Comp E55 Rem Hours To Service]]</f>
        <v>1168</v>
      </c>
      <c r="O20" s="12">
        <f>Table113456[[#This Row],[Milling DG Rem Hours To Service]]</f>
        <v>204.19999999999982</v>
      </c>
      <c r="P20" s="12">
        <f>Table113456[[#This Row],[Parboiling DG Rem Hours 
To Service]]</f>
        <v>167.10000000000036</v>
      </c>
    </row>
    <row r="21" spans="1:16" x14ac:dyDescent="0.35">
      <c r="A21" s="4">
        <v>46193</v>
      </c>
      <c r="B21" s="5">
        <f>Table113456[[#This Row],[Consumption (Liters)]]</f>
        <v>0</v>
      </c>
      <c r="C21" s="5">
        <f>Table1135[[#This Row],[NEPA Consumption (KWH)]]</f>
        <v>11960</v>
      </c>
      <c r="D21" s="5">
        <f>Table113[[#This Row],[Comp E75 -1
Run Hours]]</f>
        <v>23</v>
      </c>
      <c r="E21" s="10">
        <f>Table113[[#This Row],[Comp E75 -2
Run Hours]]</f>
        <v>0</v>
      </c>
      <c r="F21" s="10">
        <f>Table113[[#This Row],[Comp E75 -3
Run Hours]]</f>
        <v>24</v>
      </c>
      <c r="G21" s="10">
        <f>Table113[[#This Row],[Comp E55 Run Hours]]</f>
        <v>0</v>
      </c>
      <c r="H21" s="13">
        <f>Table113456[[#This Row],[DG Milling Run Hours]]</f>
        <v>0</v>
      </c>
      <c r="I21" s="12">
        <f>Table113456[[#This Row],[DG Parboiling 
Run Hours]]</f>
        <v>0</v>
      </c>
      <c r="J21" s="6"/>
      <c r="K21" s="12">
        <f>Table113[[#This Row],[Comp E75 -1
Rem Hours To Service]]</f>
        <v>1840</v>
      </c>
      <c r="L21" s="12">
        <f>Table113[[#This Row],[Comp E75 -2
Rem Hours To Service]]</f>
        <v>1790</v>
      </c>
      <c r="M21" s="12">
        <f>Table113[[#This Row],[Comp E75 -3
Rem Hours To Service]]</f>
        <v>3539</v>
      </c>
      <c r="N21" s="12">
        <f>Table113[[#This Row],[Comp E55 Rem Hours To Service]]</f>
        <v>1168</v>
      </c>
      <c r="O21" s="12">
        <f>Table113456[[#This Row],[Milling DG Rem Hours To Service]]</f>
        <v>204.19999999999982</v>
      </c>
      <c r="P21" s="12">
        <f>Table113456[[#This Row],[Parboiling DG Rem Hours 
To Service]]</f>
        <v>167.10000000000036</v>
      </c>
    </row>
    <row r="22" spans="1:16" x14ac:dyDescent="0.35">
      <c r="A22" s="4">
        <v>46194</v>
      </c>
      <c r="B22" s="5">
        <f>Table113456[[#This Row],[Consumption (Liters)]]</f>
        <v>0</v>
      </c>
      <c r="C22" s="5">
        <f>Table1135[[#This Row],[NEPA Consumption (KWH)]]</f>
        <v>6060</v>
      </c>
      <c r="D22" s="5">
        <f>Table113[[#This Row],[Comp E75 -1
Run Hours]]</f>
        <v>0</v>
      </c>
      <c r="E22" s="10">
        <f>Table113[[#This Row],[Comp E75 -2
Run Hours]]</f>
        <v>11</v>
      </c>
      <c r="F22" s="10">
        <f>Table113[[#This Row],[Comp E75 -3
Run Hours]]</f>
        <v>12</v>
      </c>
      <c r="G22" s="10">
        <f>Table113[[#This Row],[Comp E55 Run Hours]]</f>
        <v>11</v>
      </c>
      <c r="H22" s="13">
        <f>Table113456[[#This Row],[DG Milling Run Hours]]</f>
        <v>1.5</v>
      </c>
      <c r="I22" s="12">
        <f>Table113456[[#This Row],[DG Parboiling 
Run Hours]]</f>
        <v>1.5</v>
      </c>
      <c r="J22" s="6"/>
      <c r="K22" s="12">
        <f>Table113[[#This Row],[Comp E75 -1
Rem Hours To Service]]</f>
        <v>1840</v>
      </c>
      <c r="L22" s="12">
        <f>Table113[[#This Row],[Comp E75 -2
Rem Hours To Service]]</f>
        <v>1779</v>
      </c>
      <c r="M22" s="12">
        <f>Table113[[#This Row],[Comp E75 -3
Rem Hours To Service]]</f>
        <v>3527</v>
      </c>
      <c r="N22" s="12">
        <f>Table113[[#This Row],[Comp E55 Rem Hours To Service]]</f>
        <v>1157</v>
      </c>
      <c r="O22" s="12">
        <f>Table113456[[#This Row],[Milling DG Rem Hours To Service]]</f>
        <v>202.69999999999982</v>
      </c>
      <c r="P22" s="12">
        <f>Table113456[[#This Row],[Parboiling DG Rem Hours 
To Service]]</f>
        <v>165.60000000000036</v>
      </c>
    </row>
    <row r="23" spans="1:16" x14ac:dyDescent="0.35">
      <c r="A23" s="4">
        <v>46195</v>
      </c>
      <c r="B23" s="5">
        <f>Table113456[[#This Row],[Consumption (Liters)]]</f>
        <v>574</v>
      </c>
      <c r="C23" s="5">
        <f>Table1135[[#This Row],[NEPA Consumption (KWH)]]</f>
        <v>4090</v>
      </c>
      <c r="D23" s="5">
        <f>Table113[[#This Row],[Comp E75 -1
Run Hours]]</f>
        <v>0</v>
      </c>
      <c r="E23" s="10">
        <f>Table113[[#This Row],[Comp E75 -2
Run Hours]]</f>
        <v>0</v>
      </c>
      <c r="F23" s="10">
        <f>Table113[[#This Row],[Comp E75 -3
Run Hours]]</f>
        <v>0</v>
      </c>
      <c r="G23" s="10">
        <f>Table113[[#This Row],[Comp E55 Run Hours]]</f>
        <v>24</v>
      </c>
      <c r="H23" s="13">
        <f>Table113456[[#This Row],[DG Milling Run Hours]]</f>
        <v>0</v>
      </c>
      <c r="I23" s="12">
        <f>Table113456[[#This Row],[DG Parboiling 
Run Hours]]</f>
        <v>0</v>
      </c>
      <c r="J23" s="6"/>
      <c r="K23" s="12">
        <f>Table113[[#This Row],[Comp E75 -1
Rem Hours To Service]]</f>
        <v>1840</v>
      </c>
      <c r="L23" s="12">
        <f>Table113[[#This Row],[Comp E75 -2
Rem Hours To Service]]</f>
        <v>1779</v>
      </c>
      <c r="M23" s="12">
        <f>Table113[[#This Row],[Comp E75 -3
Rem Hours To Service]]</f>
        <v>3527</v>
      </c>
      <c r="N23" s="12">
        <f>Table113[[#This Row],[Comp E55 Rem Hours To Service]]</f>
        <v>1133</v>
      </c>
      <c r="O23" s="12">
        <f>Table113456[[#This Row],[Milling DG Rem Hours To Service]]</f>
        <v>202.69999999999982</v>
      </c>
      <c r="P23" s="12">
        <f>Table113456[[#This Row],[Parboiling DG Rem Hours 
To Service]]</f>
        <v>165.60000000000036</v>
      </c>
    </row>
    <row r="24" spans="1:16" x14ac:dyDescent="0.35">
      <c r="A24" s="4">
        <v>46196</v>
      </c>
      <c r="B24" s="5">
        <f>Table113456[[#This Row],[Consumption (Liters)]]</f>
        <v>364</v>
      </c>
      <c r="C24" s="5">
        <f>Table1135[[#This Row],[NEPA Consumption (KWH)]]</f>
        <v>9670</v>
      </c>
      <c r="D24" s="5">
        <f>Table113[[#This Row],[Comp E75 -1
Run Hours]]</f>
        <v>21</v>
      </c>
      <c r="E24" s="10">
        <f>Table113[[#This Row],[Comp E75 -2
Run Hours]]</f>
        <v>24</v>
      </c>
      <c r="F24" s="10">
        <f>Table113[[#This Row],[Comp E75 -3
Run Hours]]</f>
        <v>0</v>
      </c>
      <c r="G24" s="10">
        <f>Table113[[#This Row],[Comp E55 Run Hours]]</f>
        <v>0</v>
      </c>
      <c r="H24" s="13">
        <f>Table113456[[#This Row],[DG Milling Run Hours]]</f>
        <v>1</v>
      </c>
      <c r="I24" s="12">
        <f>Table113456[[#This Row],[DG Parboiling 
Run Hours]]</f>
        <v>1</v>
      </c>
      <c r="J24" s="6"/>
      <c r="K24" s="12">
        <f>Table113[[#This Row],[Comp E75 -1
Rem Hours To Service]]</f>
        <v>1819</v>
      </c>
      <c r="L24" s="12">
        <f>Table113[[#This Row],[Comp E75 -2
Rem Hours To Service]]</f>
        <v>1755</v>
      </c>
      <c r="M24" s="12">
        <f>Table113[[#This Row],[Comp E75 -3
Rem Hours To Service]]</f>
        <v>3527</v>
      </c>
      <c r="N24" s="12">
        <f>Table113[[#This Row],[Comp E55 Rem Hours To Service]]</f>
        <v>1133</v>
      </c>
      <c r="O24" s="12">
        <f>Table113456[[#This Row],[Milling DG Rem Hours To Service]]</f>
        <v>201.69999999999982</v>
      </c>
      <c r="P24" s="12">
        <f>Table113456[[#This Row],[Parboiling DG Rem Hours 
To Service]]</f>
        <v>164.60000000000036</v>
      </c>
    </row>
    <row r="25" spans="1:16" x14ac:dyDescent="0.35">
      <c r="A25" s="4">
        <v>46197</v>
      </c>
      <c r="B25" s="5">
        <f>Table113456[[#This Row],[Consumption (Liters)]]</f>
        <v>0</v>
      </c>
      <c r="C25" s="5">
        <f>Table1135[[#This Row],[NEPA Consumption (KWH)]]</f>
        <v>11080</v>
      </c>
      <c r="D25" s="5">
        <f>Table113[[#This Row],[Comp E75 -1
Run Hours]]</f>
        <v>0</v>
      </c>
      <c r="E25" s="10">
        <f>Table113[[#This Row],[Comp E75 -2
Run Hours]]</f>
        <v>23</v>
      </c>
      <c r="F25" s="10">
        <f>Table113[[#This Row],[Comp E75 -3
Run Hours]]</f>
        <v>24</v>
      </c>
      <c r="G25" s="10">
        <f>Table113[[#This Row],[Comp E55 Run Hours]]</f>
        <v>0</v>
      </c>
      <c r="H25" s="13">
        <f>Table113456[[#This Row],[DG Milling Run Hours]]</f>
        <v>0</v>
      </c>
      <c r="I25" s="12">
        <f>Table113456[[#This Row],[DG Parboiling 
Run Hours]]</f>
        <v>0</v>
      </c>
      <c r="J25" s="6"/>
      <c r="K25" s="12">
        <f>Table113[[#This Row],[Comp E75 -1
Rem Hours To Service]]</f>
        <v>1819</v>
      </c>
      <c r="L25" s="12">
        <f>Table113[[#This Row],[Comp E75 -2
Rem Hours To Service]]</f>
        <v>1732</v>
      </c>
      <c r="M25" s="12">
        <f>Table113[[#This Row],[Comp E75 -3
Rem Hours To Service]]</f>
        <v>3503</v>
      </c>
      <c r="N25" s="12">
        <f>Table113[[#This Row],[Comp E55 Rem Hours To Service]]</f>
        <v>1133</v>
      </c>
      <c r="O25" s="12">
        <f>Table113456[[#This Row],[Milling DG Rem Hours To Service]]</f>
        <v>201.69999999999982</v>
      </c>
      <c r="P25" s="12">
        <f>Table113456[[#This Row],[Parboiling DG Rem Hours 
To Service]]</f>
        <v>164.60000000000036</v>
      </c>
    </row>
    <row r="26" spans="1:16" x14ac:dyDescent="0.35">
      <c r="A26" s="4">
        <v>46198</v>
      </c>
      <c r="B26" s="5">
        <f>Table113456[[#This Row],[Consumption (Liters)]]</f>
        <v>0</v>
      </c>
      <c r="C26" s="5">
        <f>Table1135[[#This Row],[NEPA Consumption (KWH)]]</f>
        <v>11510</v>
      </c>
      <c r="D26" s="5">
        <f>Table113[[#This Row],[Comp E75 -1
Run Hours]]</f>
        <v>20</v>
      </c>
      <c r="E26" s="10">
        <f>Table113[[#This Row],[Comp E75 -2
Run Hours]]</f>
        <v>0</v>
      </c>
      <c r="F26" s="10">
        <f>Table113[[#This Row],[Comp E75 -3
Run Hours]]</f>
        <v>24</v>
      </c>
      <c r="G26" s="10">
        <f>Table113[[#This Row],[Comp E55 Run Hours]]</f>
        <v>0</v>
      </c>
      <c r="H26" s="13">
        <f>Table113456[[#This Row],[DG Milling Run Hours]]</f>
        <v>0</v>
      </c>
      <c r="I26" s="12">
        <f>Table113456[[#This Row],[DG Parboiling 
Run Hours]]</f>
        <v>0</v>
      </c>
      <c r="J26" s="6"/>
      <c r="K26" s="12">
        <f>Table113[[#This Row],[Comp E75 -1
Rem Hours To Service]]</f>
        <v>1799</v>
      </c>
      <c r="L26" s="12">
        <f>Table113[[#This Row],[Comp E75 -2
Rem Hours To Service]]</f>
        <v>1732</v>
      </c>
      <c r="M26" s="12">
        <f>Table113[[#This Row],[Comp E75 -3
Rem Hours To Service]]</f>
        <v>3479</v>
      </c>
      <c r="N26" s="12">
        <f>Table113[[#This Row],[Comp E55 Rem Hours To Service]]</f>
        <v>1133</v>
      </c>
      <c r="O26" s="12">
        <f>Table113456[[#This Row],[Milling DG Rem Hours To Service]]</f>
        <v>201.69999999999982</v>
      </c>
      <c r="P26" s="12">
        <f>Table113456[[#This Row],[Parboiling DG Rem Hours 
To Service]]</f>
        <v>164.60000000000036</v>
      </c>
    </row>
    <row r="27" spans="1:16" x14ac:dyDescent="0.35">
      <c r="A27" s="4">
        <v>46199</v>
      </c>
      <c r="B27" s="5">
        <f>Table113456[[#This Row],[Consumption (Liters)]]</f>
        <v>0</v>
      </c>
      <c r="C27" s="5">
        <f>Table1135[[#This Row],[NEPA Consumption (KWH)]]</f>
        <v>11950</v>
      </c>
      <c r="D27" s="5">
        <f>Table113[[#This Row],[Comp E75 -1
Run Hours]]</f>
        <v>24</v>
      </c>
      <c r="E27" s="10">
        <f>Table113[[#This Row],[Comp E75 -2
Run Hours]]</f>
        <v>24</v>
      </c>
      <c r="F27" s="10">
        <f>Table113[[#This Row],[Comp E75 -3
Run Hours]]</f>
        <v>0</v>
      </c>
      <c r="G27" s="10">
        <f>Table113[[#This Row],[Comp E55 Run Hours]]</f>
        <v>0</v>
      </c>
      <c r="H27" s="13">
        <f>Table113456[[#This Row],[DG Milling Run Hours]]</f>
        <v>0</v>
      </c>
      <c r="I27" s="12">
        <f>Table113456[[#This Row],[DG Parboiling 
Run Hours]]</f>
        <v>0</v>
      </c>
      <c r="J27" s="6"/>
      <c r="K27" s="12">
        <f>Table113[[#This Row],[Comp E75 -1
Rem Hours To Service]]</f>
        <v>1775</v>
      </c>
      <c r="L27" s="12">
        <f>Table113[[#This Row],[Comp E75 -2
Rem Hours To Service]]</f>
        <v>1708</v>
      </c>
      <c r="M27" s="12">
        <f>Table113[[#This Row],[Comp E75 -3
Rem Hours To Service]]</f>
        <v>3479</v>
      </c>
      <c r="N27" s="12">
        <f>Table113[[#This Row],[Comp E55 Rem Hours To Service]]</f>
        <v>1133</v>
      </c>
      <c r="O27" s="12">
        <f>Table113456[[#This Row],[Milling DG Rem Hours To Service]]</f>
        <v>201.69999999999982</v>
      </c>
      <c r="P27" s="12">
        <f>Table113456[[#This Row],[Parboiling DG Rem Hours 
To Service]]</f>
        <v>164.60000000000036</v>
      </c>
    </row>
    <row r="28" spans="1:16" x14ac:dyDescent="0.35">
      <c r="A28" s="4">
        <v>46200</v>
      </c>
      <c r="B28" s="5">
        <f>Table113456[[#This Row],[Consumption (Liters)]]</f>
        <v>0</v>
      </c>
      <c r="C28" s="5">
        <f>Table1135[[#This Row],[NEPA Consumption (KWH)]]</f>
        <v>11270</v>
      </c>
      <c r="D28" s="5">
        <f>Table113[[#This Row],[Comp E75 -1
Run Hours]]</f>
        <v>0</v>
      </c>
      <c r="E28" s="10">
        <f>Table113[[#This Row],[Comp E75 -2
Run Hours]]</f>
        <v>24</v>
      </c>
      <c r="F28" s="10">
        <f>Table113[[#This Row],[Comp E75 -3
Run Hours]]</f>
        <v>24</v>
      </c>
      <c r="G28" s="10">
        <f>Table113[[#This Row],[Comp E55 Run Hours]]</f>
        <v>0</v>
      </c>
      <c r="H28" s="13">
        <f>Table113456[[#This Row],[DG Milling Run Hours]]</f>
        <v>0</v>
      </c>
      <c r="I28" s="12">
        <f>Table113456[[#This Row],[DG Parboiling 
Run Hours]]</f>
        <v>0</v>
      </c>
      <c r="J28" s="6"/>
      <c r="K28" s="12">
        <f>Table113[[#This Row],[Comp E75 -1
Rem Hours To Service]]</f>
        <v>1775</v>
      </c>
      <c r="L28" s="12">
        <f>Table113[[#This Row],[Comp E75 -2
Rem Hours To Service]]</f>
        <v>1684</v>
      </c>
      <c r="M28" s="12">
        <f>Table113[[#This Row],[Comp E75 -3
Rem Hours To Service]]</f>
        <v>3455</v>
      </c>
      <c r="N28" s="12">
        <f>Table113[[#This Row],[Comp E55 Rem Hours To Service]]</f>
        <v>1133</v>
      </c>
      <c r="O28" s="12">
        <f>Table113456[[#This Row],[Milling DG Rem Hours To Service]]</f>
        <v>201.69999999999982</v>
      </c>
      <c r="P28" s="12">
        <f>Table113456[[#This Row],[Parboiling DG Rem Hours 
To Service]]</f>
        <v>164.60000000000036</v>
      </c>
    </row>
    <row r="29" spans="1:16" x14ac:dyDescent="0.35">
      <c r="A29" s="4">
        <v>46201</v>
      </c>
      <c r="B29" s="5">
        <f>Table113456[[#This Row],[Consumption (Liters)]]</f>
        <v>295</v>
      </c>
      <c r="C29" s="5">
        <f>Table1135[[#This Row],[NEPA Consumption (KWH)]]</f>
        <v>3340</v>
      </c>
      <c r="D29" s="5">
        <f>Table113[[#This Row],[Comp E75 -1
Run Hours]]</f>
        <v>0</v>
      </c>
      <c r="E29" s="10">
        <f>Table113[[#This Row],[Comp E75 -2
Run Hours]]</f>
        <v>1</v>
      </c>
      <c r="F29" s="10">
        <f>Table113[[#This Row],[Comp E75 -3
Run Hours]]</f>
        <v>13</v>
      </c>
      <c r="G29" s="10">
        <f>Table113[[#This Row],[Comp E55 Run Hours]]</f>
        <v>10</v>
      </c>
      <c r="H29" s="13">
        <f>Table113456[[#This Row],[DG Milling Run Hours]]</f>
        <v>0</v>
      </c>
      <c r="I29" s="12">
        <f>Table113456[[#This Row],[DG Parboiling 
Run Hours]]</f>
        <v>0.3999999999996362</v>
      </c>
      <c r="J29" s="6"/>
      <c r="K29" s="12">
        <f>Table113[[#This Row],[Comp E75 -1
Rem Hours To Service]]</f>
        <v>1775</v>
      </c>
      <c r="L29" s="12">
        <f>Table113[[#This Row],[Comp E75 -2
Rem Hours To Service]]</f>
        <v>1683</v>
      </c>
      <c r="M29" s="12">
        <f>Table113[[#This Row],[Comp E75 -3
Rem Hours To Service]]</f>
        <v>3442</v>
      </c>
      <c r="N29" s="12">
        <f>Table113[[#This Row],[Comp E55 Rem Hours To Service]]</f>
        <v>1123</v>
      </c>
      <c r="O29" s="12">
        <f>Table113456[[#This Row],[Milling DG Rem Hours To Service]]</f>
        <v>201.69999999999982</v>
      </c>
      <c r="P29" s="12">
        <f>Table113456[[#This Row],[Parboiling DG Rem Hours 
To Service]]</f>
        <v>164.20000000000073</v>
      </c>
    </row>
    <row r="30" spans="1:16" x14ac:dyDescent="0.35">
      <c r="A30" s="4">
        <v>46202</v>
      </c>
      <c r="B30" s="5">
        <f>Table113456[[#This Row],[Consumption (Liters)]]</f>
        <v>0</v>
      </c>
      <c r="C30" s="5">
        <f>Table1135[[#This Row],[NEPA Consumption (KWH)]]</f>
        <v>500</v>
      </c>
      <c r="D30" s="5">
        <f>Table113[[#This Row],[Comp E75 -1
Run Hours]]</f>
        <v>0</v>
      </c>
      <c r="E30" s="10">
        <f>Table113[[#This Row],[Comp E75 -2
Run Hours]]</f>
        <v>0</v>
      </c>
      <c r="F30" s="10">
        <f>Table113[[#This Row],[Comp E75 -3
Run Hours]]</f>
        <v>0</v>
      </c>
      <c r="G30" s="10">
        <f>Table113[[#This Row],[Comp E55 Run Hours]]</f>
        <v>0</v>
      </c>
      <c r="H30" s="13">
        <f>Table113456[[#This Row],[DG Milling Run Hours]]</f>
        <v>0</v>
      </c>
      <c r="I30" s="12">
        <f>Table113456[[#This Row],[DG Parboiling 
Run Hours]]</f>
        <v>0</v>
      </c>
      <c r="J30" s="6"/>
      <c r="K30" s="12">
        <f>Table113[[#This Row],[Comp E75 -1
Rem Hours To Service]]</f>
        <v>1775</v>
      </c>
      <c r="L30" s="12">
        <f>Table113[[#This Row],[Comp E75 -2
Rem Hours To Service]]</f>
        <v>1683</v>
      </c>
      <c r="M30" s="12">
        <f>Table113[[#This Row],[Comp E75 -3
Rem Hours To Service]]</f>
        <v>3442</v>
      </c>
      <c r="N30" s="12">
        <f>Table113[[#This Row],[Comp E55 Rem Hours To Service]]</f>
        <v>1123</v>
      </c>
      <c r="O30" s="12">
        <f>Table113456[[#This Row],[Milling DG Rem Hours To Service]]</f>
        <v>201.69999999999982</v>
      </c>
      <c r="P30" s="12">
        <f>Table113456[[#This Row],[Parboiling DG Rem Hours 
To Service]]</f>
        <v>164.20000000000073</v>
      </c>
    </row>
    <row r="31" spans="1:16" x14ac:dyDescent="0.35">
      <c r="A31" s="4">
        <v>46203</v>
      </c>
      <c r="B31" s="7">
        <f>Table113456[[#This Row],[Consumption (Liters)]]</f>
        <v>37278</v>
      </c>
      <c r="C31" s="7">
        <f>Table1135[[#This Row],[NEPA Consumption (KWH)]]</f>
        <v>-24021430</v>
      </c>
      <c r="D31" s="5">
        <f>Table113[[#This Row],[Comp E75 -1
Run Hours]]</f>
        <v>-3665</v>
      </c>
      <c r="E31" s="10">
        <f>Table113[[#This Row],[Comp E75 -2
Run Hours]]</f>
        <v>-6383</v>
      </c>
      <c r="F31" s="10">
        <f>Table113[[#This Row],[Comp E75 -3
Run Hours]]</f>
        <v>-558</v>
      </c>
      <c r="G31" s="10">
        <f>Table113[[#This Row],[Comp E55 Run Hours]]</f>
        <v>-25807</v>
      </c>
      <c r="H31" s="13">
        <f>Table113456[[#This Row],[DG Milling Run Hours]]</f>
        <v>-5622.3</v>
      </c>
      <c r="I31" s="12">
        <f>Table113456[[#This Row],[DG Parboiling 
Run Hours]]</f>
        <v>-12479.3</v>
      </c>
      <c r="J31" s="11"/>
      <c r="K31" s="12">
        <f>Table113[[#This Row],[Comp E75 -1
Rem Hours To Service]]</f>
        <v>5440</v>
      </c>
      <c r="L31" s="12">
        <f>Table113[[#This Row],[Comp E75 -2
Rem Hours To Service]]</f>
        <v>8066</v>
      </c>
      <c r="M31" s="12">
        <f>Table113[[#This Row],[Comp E75 -3
Rem Hours To Service]]</f>
        <v>4000</v>
      </c>
      <c r="N31" s="12">
        <f>Table113[[#This Row],[Comp E55 Rem Hours To Service]]</f>
        <v>26930</v>
      </c>
      <c r="O31" s="12">
        <f>Table113456[[#This Row],[Milling DG Rem Hours To Service]]</f>
        <v>5824</v>
      </c>
      <c r="P31" s="12">
        <f>Table113456[[#This Row],[Parboiling DG Rem Hours 
To Service]]</f>
        <v>12643.5</v>
      </c>
    </row>
    <row r="33" spans="1:16" x14ac:dyDescent="0.35">
      <c r="A33" t="s">
        <v>46</v>
      </c>
      <c r="K33">
        <f>SMALL(Table11[Comp E75 -1
Rem Hours To Service],1)</f>
        <v>1775</v>
      </c>
      <c r="L33">
        <f>SMALL(Table11[Comp E75 -2
Rem Hours To Service],1)</f>
        <v>1683</v>
      </c>
      <c r="N33">
        <f>SMALL(Table11[Comp E55 Rem Hours To Service],1)</f>
        <v>1123</v>
      </c>
      <c r="O33">
        <f>SMALL(Table11[Milling DG Rem Hours To Service],1)</f>
        <v>201.69999999999982</v>
      </c>
      <c r="P33">
        <f>SMALL(Table11[Parboiling DG Rem Hours 
To Service],1)</f>
        <v>164.20000000000073</v>
      </c>
    </row>
    <row r="34" spans="1:16" x14ac:dyDescent="0.35">
      <c r="A34" t="s">
        <v>47</v>
      </c>
      <c r="K34" s="15">
        <f>K33/24</f>
        <v>73.958333333333329</v>
      </c>
      <c r="L34" s="15">
        <f t="shared" ref="L34:N34" si="0">L33/24</f>
        <v>70.125</v>
      </c>
      <c r="M34" s="15"/>
      <c r="N34" s="15">
        <f t="shared" si="0"/>
        <v>46.791666666666664</v>
      </c>
      <c r="O34" s="15"/>
      <c r="P34" s="15"/>
    </row>
    <row r="36" spans="1:16" ht="14.5" customHeight="1" x14ac:dyDescent="0.35">
      <c r="A36" s="46" t="s">
        <v>77</v>
      </c>
      <c r="B36" s="46"/>
      <c r="C36" s="46"/>
      <c r="D36" s="46"/>
      <c r="E36" s="46"/>
    </row>
    <row r="37" spans="1:16" x14ac:dyDescent="0.35">
      <c r="A37" s="46"/>
      <c r="B37" s="46"/>
      <c r="C37" s="46"/>
      <c r="D37" s="46"/>
      <c r="E37" s="46"/>
    </row>
    <row r="38" spans="1:16" x14ac:dyDescent="0.35">
      <c r="A38" s="46"/>
      <c r="B38" s="46"/>
      <c r="C38" s="46"/>
      <c r="D38" s="46"/>
      <c r="E38" s="46"/>
    </row>
    <row r="39" spans="1:16" x14ac:dyDescent="0.35">
      <c r="A39" s="46"/>
      <c r="B39" s="46"/>
      <c r="C39" s="46"/>
      <c r="D39" s="46"/>
      <c r="E39" s="46"/>
    </row>
    <row r="40" spans="1:16" x14ac:dyDescent="0.35">
      <c r="A40" s="46"/>
      <c r="B40" s="46"/>
      <c r="C40" s="46"/>
      <c r="D40" s="46"/>
      <c r="E40" s="46"/>
    </row>
    <row r="41" spans="1:16" x14ac:dyDescent="0.35">
      <c r="A41" s="46"/>
      <c r="B41" s="46"/>
      <c r="C41" s="46"/>
      <c r="D41" s="46"/>
      <c r="E41" s="46"/>
    </row>
    <row r="42" spans="1:16" x14ac:dyDescent="0.35">
      <c r="A42" s="46"/>
      <c r="B42" s="46"/>
      <c r="C42" s="46"/>
      <c r="D42" s="46"/>
      <c r="E42" s="46"/>
    </row>
    <row r="43" spans="1:16" x14ac:dyDescent="0.35">
      <c r="A43" s="46"/>
      <c r="B43" s="46"/>
      <c r="C43" s="46"/>
      <c r="D43" s="46"/>
      <c r="E43" s="46"/>
    </row>
    <row r="44" spans="1:16" x14ac:dyDescent="0.35">
      <c r="A44" s="46"/>
      <c r="B44" s="46"/>
      <c r="C44" s="46"/>
      <c r="D44" s="46"/>
      <c r="E44" s="46"/>
    </row>
  </sheetData>
  <sheetProtection formatCells="0" formatColumns="0" formatRows="0" insertColumns="0" insertRows="0" insertHyperlinks="0" deleteColumns="0" deleteRows="0" sort="0" autoFilter="0" pivotTables="0"/>
  <mergeCells count="1">
    <mergeCell ref="A36:E44"/>
  </mergeCells>
  <printOptions horizontalCentered="1"/>
  <pageMargins left="0.11811023622047245" right="0.11811023622047245" top="0.74803149606299213" bottom="0.74803149606299213" header="0.31496062992125984" footer="0.31496062992125984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06DF1-27F6-47D2-A25D-1758ED53D680}">
  <sheetPr codeName="Sheet2">
    <pageSetUpPr fitToPage="1"/>
  </sheetPr>
  <dimension ref="B1:AH21"/>
  <sheetViews>
    <sheetView zoomScaleNormal="130" workbookViewId="0">
      <pane xSplit="2" topLeftCell="AE1" activePane="topRight" state="frozenSplit"/>
      <selection pane="topRight" activeCell="AF15" sqref="AF15"/>
    </sheetView>
  </sheetViews>
  <sheetFormatPr defaultRowHeight="14.5" x14ac:dyDescent="0.35"/>
  <cols>
    <col min="2" max="2" width="26" bestFit="1" customWidth="1"/>
    <col min="3" max="4" width="10.08984375" bestFit="1" customWidth="1"/>
    <col min="5" max="33" width="10.6328125" customWidth="1"/>
    <col min="34" max="34" width="10.08984375" bestFit="1" customWidth="1"/>
  </cols>
  <sheetData>
    <row r="1" spans="2:34" ht="29.5" thickBot="1" x14ac:dyDescent="0.4">
      <c r="B1" s="27" t="s">
        <v>37</v>
      </c>
      <c r="C1" s="28">
        <v>46173</v>
      </c>
      <c r="D1" s="28">
        <v>46174</v>
      </c>
      <c r="E1" s="28">
        <v>46175</v>
      </c>
      <c r="F1" s="28">
        <v>46176</v>
      </c>
      <c r="G1" s="28">
        <v>46177</v>
      </c>
      <c r="H1" s="28">
        <v>46178</v>
      </c>
      <c r="I1" s="28">
        <v>46179</v>
      </c>
      <c r="J1" s="28">
        <v>46180</v>
      </c>
      <c r="K1" s="28">
        <v>46181</v>
      </c>
      <c r="L1" s="28">
        <v>46182</v>
      </c>
      <c r="M1" s="28">
        <v>46183</v>
      </c>
      <c r="N1" s="28">
        <v>46184</v>
      </c>
      <c r="O1" s="28">
        <v>46185</v>
      </c>
      <c r="P1" s="28">
        <v>46186</v>
      </c>
      <c r="Q1" s="28">
        <v>46187</v>
      </c>
      <c r="R1" s="28">
        <v>46188</v>
      </c>
      <c r="S1" s="28">
        <v>46189</v>
      </c>
      <c r="T1" s="28">
        <v>46190</v>
      </c>
      <c r="U1" s="28">
        <v>46191</v>
      </c>
      <c r="V1" s="28">
        <v>46192</v>
      </c>
      <c r="W1" s="28">
        <v>46193</v>
      </c>
      <c r="X1" s="28">
        <v>46194</v>
      </c>
      <c r="Y1" s="28">
        <v>46195</v>
      </c>
      <c r="Z1" s="28">
        <v>46196</v>
      </c>
      <c r="AA1" s="28">
        <v>46197</v>
      </c>
      <c r="AB1" s="28">
        <v>46198</v>
      </c>
      <c r="AC1" s="28">
        <v>46199</v>
      </c>
      <c r="AD1" s="28">
        <v>46200</v>
      </c>
      <c r="AE1" s="28">
        <v>46201</v>
      </c>
      <c r="AF1" s="28">
        <v>46202</v>
      </c>
      <c r="AG1" s="28">
        <v>46203</v>
      </c>
      <c r="AH1" s="28">
        <v>46204</v>
      </c>
    </row>
    <row r="2" spans="2:34" x14ac:dyDescent="0.35">
      <c r="B2" s="2" t="s">
        <v>38</v>
      </c>
      <c r="C2" s="26">
        <v>2328</v>
      </c>
      <c r="D2" s="26">
        <v>2112</v>
      </c>
      <c r="E2" s="26">
        <v>2092</v>
      </c>
      <c r="F2" s="26">
        <v>2080</v>
      </c>
      <c r="G2" s="26">
        <v>2080</v>
      </c>
      <c r="H2" s="26">
        <v>2080</v>
      </c>
      <c r="I2" s="26">
        <v>2040</v>
      </c>
      <c r="J2" s="26">
        <v>1976</v>
      </c>
      <c r="K2" s="26">
        <v>1948</v>
      </c>
      <c r="L2" s="26">
        <v>1928</v>
      </c>
      <c r="M2" s="26">
        <v>1928</v>
      </c>
      <c r="N2" s="26">
        <v>1852</v>
      </c>
      <c r="O2" s="26">
        <v>1836</v>
      </c>
      <c r="P2" s="26">
        <v>2536</v>
      </c>
      <c r="Q2" s="26">
        <v>2520</v>
      </c>
      <c r="R2" s="26">
        <v>2424</v>
      </c>
      <c r="S2" s="26">
        <v>2424</v>
      </c>
      <c r="T2" s="26">
        <v>2404</v>
      </c>
      <c r="U2" s="26">
        <v>2404</v>
      </c>
      <c r="V2" s="26">
        <v>2128</v>
      </c>
      <c r="W2" s="26">
        <v>2128</v>
      </c>
      <c r="X2" s="26">
        <v>2128</v>
      </c>
      <c r="Y2" s="26">
        <v>2096</v>
      </c>
      <c r="Z2" s="26">
        <v>2076</v>
      </c>
      <c r="AA2" s="26">
        <v>2076</v>
      </c>
      <c r="AB2" s="26">
        <v>2076</v>
      </c>
      <c r="AC2" s="26">
        <v>2076</v>
      </c>
      <c r="AD2" s="26">
        <v>2076</v>
      </c>
      <c r="AE2" s="26">
        <v>2060</v>
      </c>
      <c r="AF2" s="26">
        <v>2060</v>
      </c>
      <c r="AG2" s="26"/>
      <c r="AH2" s="26"/>
    </row>
    <row r="3" spans="2:34" x14ac:dyDescent="0.35">
      <c r="B3" s="8" t="s">
        <v>39</v>
      </c>
      <c r="C3" s="25">
        <v>23758960</v>
      </c>
      <c r="D3" s="25">
        <v>23764530</v>
      </c>
      <c r="E3" s="25">
        <v>23775430</v>
      </c>
      <c r="F3" s="25">
        <v>23784720</v>
      </c>
      <c r="G3" s="25">
        <v>23796180</v>
      </c>
      <c r="H3" s="25">
        <v>23808050</v>
      </c>
      <c r="I3" s="25">
        <v>23818600</v>
      </c>
      <c r="J3" s="25">
        <v>23827940</v>
      </c>
      <c r="K3" s="25">
        <v>23831550</v>
      </c>
      <c r="L3" s="25">
        <v>23841970</v>
      </c>
      <c r="M3" s="25">
        <v>23853800</v>
      </c>
      <c r="N3" s="25">
        <v>23862680</v>
      </c>
      <c r="O3" s="25">
        <v>23873790</v>
      </c>
      <c r="P3" s="25">
        <v>23884700</v>
      </c>
      <c r="Q3" s="25">
        <v>23893900</v>
      </c>
      <c r="R3" s="25">
        <v>23897100</v>
      </c>
      <c r="S3" s="25">
        <v>23906310</v>
      </c>
      <c r="T3" s="25">
        <v>23915980</v>
      </c>
      <c r="U3" s="25">
        <v>23928600</v>
      </c>
      <c r="V3" s="25">
        <v>23940000</v>
      </c>
      <c r="W3" s="25">
        <v>23951960</v>
      </c>
      <c r="X3" s="25">
        <v>23958020</v>
      </c>
      <c r="Y3" s="25">
        <v>23962110</v>
      </c>
      <c r="Z3" s="25">
        <v>23971780</v>
      </c>
      <c r="AA3" s="25">
        <v>23982860</v>
      </c>
      <c r="AB3" s="25">
        <v>23994370</v>
      </c>
      <c r="AC3" s="25">
        <v>24006320</v>
      </c>
      <c r="AD3" s="25">
        <v>24017590</v>
      </c>
      <c r="AE3" s="25">
        <v>24020930</v>
      </c>
      <c r="AF3" s="25">
        <v>24021430</v>
      </c>
      <c r="AG3" s="25"/>
      <c r="AH3" s="25"/>
    </row>
    <row r="4" spans="2:34" x14ac:dyDescent="0.35">
      <c r="B4" s="8" t="s">
        <v>40</v>
      </c>
      <c r="C4" s="25">
        <v>3361</v>
      </c>
      <c r="D4" s="25">
        <v>3361</v>
      </c>
      <c r="E4" s="25">
        <v>3361</v>
      </c>
      <c r="F4" s="25">
        <v>3383</v>
      </c>
      <c r="G4" s="25">
        <v>3406</v>
      </c>
      <c r="H4" s="25">
        <v>3406</v>
      </c>
      <c r="I4" s="25">
        <v>3429</v>
      </c>
      <c r="J4" s="25">
        <v>3439</v>
      </c>
      <c r="K4" s="25">
        <v>3439</v>
      </c>
      <c r="L4" s="25">
        <v>3462</v>
      </c>
      <c r="M4" s="25">
        <v>3462</v>
      </c>
      <c r="N4" s="25">
        <v>3485</v>
      </c>
      <c r="O4" s="25">
        <v>3508</v>
      </c>
      <c r="P4" s="25">
        <v>3508</v>
      </c>
      <c r="Q4" s="25">
        <v>3526</v>
      </c>
      <c r="R4" s="25">
        <v>3530</v>
      </c>
      <c r="S4" s="25">
        <v>3530</v>
      </c>
      <c r="T4" s="25">
        <v>3553</v>
      </c>
      <c r="U4" s="25">
        <v>3577</v>
      </c>
      <c r="V4" s="25">
        <v>3577</v>
      </c>
      <c r="W4" s="25">
        <v>3600</v>
      </c>
      <c r="X4" s="25">
        <v>3600</v>
      </c>
      <c r="Y4" s="25">
        <v>3600</v>
      </c>
      <c r="Z4" s="25">
        <v>3621</v>
      </c>
      <c r="AA4" s="25">
        <v>3621</v>
      </c>
      <c r="AB4" s="25">
        <v>3641</v>
      </c>
      <c r="AC4" s="25">
        <v>3665</v>
      </c>
      <c r="AD4" s="25">
        <v>3665</v>
      </c>
      <c r="AE4" s="25">
        <v>3665</v>
      </c>
      <c r="AF4" s="25">
        <v>3665</v>
      </c>
      <c r="AG4" s="25"/>
      <c r="AH4" s="25"/>
    </row>
    <row r="5" spans="2:34" x14ac:dyDescent="0.35">
      <c r="B5" s="8" t="s">
        <v>41</v>
      </c>
      <c r="C5" s="25">
        <v>5982</v>
      </c>
      <c r="D5" s="25">
        <v>6006</v>
      </c>
      <c r="E5" s="25">
        <v>6030</v>
      </c>
      <c r="F5" s="25">
        <v>6030</v>
      </c>
      <c r="G5" s="25">
        <v>6054</v>
      </c>
      <c r="H5" s="25">
        <v>6078</v>
      </c>
      <c r="I5" s="25">
        <v>6078</v>
      </c>
      <c r="J5" s="25">
        <v>6101</v>
      </c>
      <c r="K5" s="25">
        <v>6101</v>
      </c>
      <c r="L5" s="25">
        <v>6125</v>
      </c>
      <c r="M5" s="25">
        <v>6148</v>
      </c>
      <c r="N5" s="25">
        <v>6148</v>
      </c>
      <c r="O5" s="25">
        <v>6172</v>
      </c>
      <c r="P5" s="25">
        <v>6196</v>
      </c>
      <c r="Q5" s="25">
        <v>6196</v>
      </c>
      <c r="R5" s="25">
        <v>6206</v>
      </c>
      <c r="S5" s="25">
        <v>6229</v>
      </c>
      <c r="T5" s="25">
        <v>6229</v>
      </c>
      <c r="U5" s="25">
        <v>6253</v>
      </c>
      <c r="V5" s="25">
        <v>6276</v>
      </c>
      <c r="W5" s="25">
        <v>6276</v>
      </c>
      <c r="X5" s="25">
        <v>6287</v>
      </c>
      <c r="Y5" s="25">
        <v>6287</v>
      </c>
      <c r="Z5" s="25">
        <v>6311</v>
      </c>
      <c r="AA5" s="25">
        <v>6334</v>
      </c>
      <c r="AB5" s="25">
        <v>6334</v>
      </c>
      <c r="AC5" s="25">
        <v>6358</v>
      </c>
      <c r="AD5" s="25">
        <v>6382</v>
      </c>
      <c r="AE5" s="25">
        <v>6383</v>
      </c>
      <c r="AF5" s="25">
        <v>6383</v>
      </c>
      <c r="AG5" s="25"/>
      <c r="AH5" s="25"/>
    </row>
    <row r="6" spans="2:34" x14ac:dyDescent="0.35">
      <c r="B6" s="8" t="s">
        <v>54</v>
      </c>
      <c r="C6" s="25">
        <v>149</v>
      </c>
      <c r="D6" s="25">
        <v>172</v>
      </c>
      <c r="E6" s="25">
        <v>196</v>
      </c>
      <c r="F6" s="25">
        <v>214</v>
      </c>
      <c r="G6" s="25">
        <v>214</v>
      </c>
      <c r="H6" s="25">
        <v>238</v>
      </c>
      <c r="I6" s="25">
        <v>261</v>
      </c>
      <c r="J6" s="25">
        <v>272</v>
      </c>
      <c r="K6" s="25">
        <v>272</v>
      </c>
      <c r="L6" s="25">
        <v>272</v>
      </c>
      <c r="M6" s="25">
        <v>296</v>
      </c>
      <c r="N6" s="25">
        <v>320</v>
      </c>
      <c r="O6" s="25">
        <v>320</v>
      </c>
      <c r="P6" s="25">
        <v>344</v>
      </c>
      <c r="Q6" s="25">
        <v>364</v>
      </c>
      <c r="R6" s="25">
        <v>367</v>
      </c>
      <c r="S6" s="25">
        <v>389</v>
      </c>
      <c r="T6" s="25">
        <v>413</v>
      </c>
      <c r="U6" s="25">
        <v>413</v>
      </c>
      <c r="V6" s="25">
        <v>437</v>
      </c>
      <c r="W6" s="25">
        <v>461</v>
      </c>
      <c r="X6" s="25">
        <v>473</v>
      </c>
      <c r="Y6" s="25">
        <v>473</v>
      </c>
      <c r="Z6" s="25">
        <v>473</v>
      </c>
      <c r="AA6" s="25">
        <v>497</v>
      </c>
      <c r="AB6" s="25">
        <v>521</v>
      </c>
      <c r="AC6" s="25">
        <v>521</v>
      </c>
      <c r="AD6" s="25">
        <v>545</v>
      </c>
      <c r="AE6" s="25">
        <v>558</v>
      </c>
      <c r="AF6" s="25">
        <v>558</v>
      </c>
      <c r="AG6" s="25"/>
      <c r="AH6" s="25"/>
    </row>
    <row r="7" spans="2:34" x14ac:dyDescent="0.35">
      <c r="B7" s="8" t="s">
        <v>55</v>
      </c>
      <c r="C7" s="25">
        <v>25725</v>
      </c>
      <c r="D7" s="25">
        <v>25725</v>
      </c>
      <c r="E7" s="25">
        <v>25725</v>
      </c>
      <c r="F7" s="25">
        <v>25725</v>
      </c>
      <c r="G7" s="25">
        <v>25725</v>
      </c>
      <c r="H7" s="25">
        <v>25725</v>
      </c>
      <c r="I7" s="25">
        <v>25725</v>
      </c>
      <c r="J7" s="25">
        <v>25726</v>
      </c>
      <c r="K7" s="25">
        <v>25750</v>
      </c>
      <c r="L7" s="25">
        <v>25750</v>
      </c>
      <c r="M7" s="25">
        <v>25750</v>
      </c>
      <c r="N7" s="25">
        <v>25750</v>
      </c>
      <c r="O7" s="25">
        <v>25750</v>
      </c>
      <c r="P7" s="25">
        <v>25750</v>
      </c>
      <c r="Q7" s="25">
        <v>25750</v>
      </c>
      <c r="R7" s="25">
        <v>25760</v>
      </c>
      <c r="S7" s="25">
        <v>25762</v>
      </c>
      <c r="T7" s="25">
        <v>25762</v>
      </c>
      <c r="U7" s="25">
        <v>25762</v>
      </c>
      <c r="V7" s="25">
        <v>25762</v>
      </c>
      <c r="W7" s="25">
        <v>25762</v>
      </c>
      <c r="X7" s="25">
        <v>25773</v>
      </c>
      <c r="Y7" s="25">
        <v>25797</v>
      </c>
      <c r="Z7" s="25">
        <v>25797</v>
      </c>
      <c r="AA7" s="25">
        <v>25797</v>
      </c>
      <c r="AB7" s="25">
        <v>25797</v>
      </c>
      <c r="AC7" s="25">
        <v>25797</v>
      </c>
      <c r="AD7" s="25">
        <v>25797</v>
      </c>
      <c r="AE7" s="25">
        <v>25807</v>
      </c>
      <c r="AF7" s="25">
        <v>25807</v>
      </c>
      <c r="AG7" s="25"/>
      <c r="AH7" s="25"/>
    </row>
    <row r="8" spans="2:34" x14ac:dyDescent="0.35">
      <c r="B8" s="8" t="s">
        <v>42</v>
      </c>
      <c r="C8" s="25">
        <v>5588.4</v>
      </c>
      <c r="D8" s="25">
        <v>5600.4</v>
      </c>
      <c r="E8" s="25">
        <v>5602.1</v>
      </c>
      <c r="F8" s="25">
        <v>5603.1</v>
      </c>
      <c r="G8" s="25">
        <v>5603.1</v>
      </c>
      <c r="H8" s="25">
        <v>5603.1</v>
      </c>
      <c r="I8" s="25">
        <v>5605.1</v>
      </c>
      <c r="J8" s="25">
        <v>5608.6</v>
      </c>
      <c r="K8" s="25">
        <v>5608.6</v>
      </c>
      <c r="L8" s="25">
        <v>5610.2</v>
      </c>
      <c r="M8" s="25">
        <v>5610.2</v>
      </c>
      <c r="N8" s="25">
        <v>5610.2</v>
      </c>
      <c r="O8" s="25">
        <v>5610.2</v>
      </c>
      <c r="P8" s="25">
        <v>5611.3</v>
      </c>
      <c r="Q8" s="25">
        <v>5611.9</v>
      </c>
      <c r="R8" s="25">
        <v>5617.2</v>
      </c>
      <c r="S8" s="25">
        <v>5617.2</v>
      </c>
      <c r="T8" s="25">
        <v>5618.9</v>
      </c>
      <c r="U8" s="25">
        <v>5618.9</v>
      </c>
      <c r="V8" s="25">
        <v>5619.8</v>
      </c>
      <c r="W8" s="25">
        <v>5619.8</v>
      </c>
      <c r="X8" s="25">
        <v>5621.3</v>
      </c>
      <c r="Y8" s="25">
        <v>5621.3</v>
      </c>
      <c r="Z8" s="25">
        <v>5622.3</v>
      </c>
      <c r="AA8" s="25">
        <v>5622.3</v>
      </c>
      <c r="AB8" s="25">
        <v>5622.3</v>
      </c>
      <c r="AC8" s="25">
        <v>5622.3</v>
      </c>
      <c r="AD8" s="25">
        <v>5622.3</v>
      </c>
      <c r="AE8" s="25">
        <v>5622.3</v>
      </c>
      <c r="AF8" s="25">
        <v>5622.3</v>
      </c>
      <c r="AG8" s="25"/>
      <c r="AH8" s="25"/>
    </row>
    <row r="9" spans="2:34" x14ac:dyDescent="0.35">
      <c r="B9" s="8" t="s">
        <v>43</v>
      </c>
      <c r="C9" s="25">
        <v>12424.2</v>
      </c>
      <c r="D9" s="25">
        <v>12436.2</v>
      </c>
      <c r="E9" s="25">
        <v>12437.9</v>
      </c>
      <c r="F9" s="25">
        <v>12438.9</v>
      </c>
      <c r="G9" s="25">
        <v>12438.9</v>
      </c>
      <c r="H9" s="25">
        <v>12438.9</v>
      </c>
      <c r="I9" s="25">
        <v>12440.9</v>
      </c>
      <c r="J9" s="25">
        <v>12444.4</v>
      </c>
      <c r="K9" s="25">
        <v>12449.8</v>
      </c>
      <c r="L9" s="25">
        <v>12451.4</v>
      </c>
      <c r="M9" s="25">
        <v>12451.4</v>
      </c>
      <c r="N9" s="25">
        <v>12462.8</v>
      </c>
      <c r="O9" s="25">
        <v>12466.8</v>
      </c>
      <c r="P9" s="25">
        <v>12467.9</v>
      </c>
      <c r="Q9" s="25">
        <v>12468.5</v>
      </c>
      <c r="R9" s="25">
        <v>12475.5</v>
      </c>
      <c r="S9" s="25">
        <v>12475.5</v>
      </c>
      <c r="T9" s="25">
        <v>12475.5</v>
      </c>
      <c r="U9" s="25">
        <v>12475.5</v>
      </c>
      <c r="V9" s="25">
        <v>12476.4</v>
      </c>
      <c r="W9" s="25">
        <v>12476.4</v>
      </c>
      <c r="X9" s="25">
        <v>12477.9</v>
      </c>
      <c r="Y9" s="25">
        <v>12477.9</v>
      </c>
      <c r="Z9" s="25">
        <v>12478.9</v>
      </c>
      <c r="AA9" s="25">
        <v>12478.9</v>
      </c>
      <c r="AB9" s="25">
        <v>12478.9</v>
      </c>
      <c r="AC9" s="25">
        <v>12478.9</v>
      </c>
      <c r="AD9" s="25">
        <v>12478.9</v>
      </c>
      <c r="AE9" s="25">
        <v>12479.3</v>
      </c>
      <c r="AF9" s="25">
        <v>12479.3</v>
      </c>
      <c r="AG9" s="25"/>
      <c r="AH9" s="25"/>
    </row>
    <row r="10" spans="2:34" hidden="1" x14ac:dyDescent="0.35">
      <c r="B10" s="8" t="s">
        <v>57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11500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</row>
    <row r="11" spans="2:34" ht="15" hidden="1" customHeight="1" x14ac:dyDescent="0.35">
      <c r="B11" s="8" t="s">
        <v>59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2584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0</v>
      </c>
      <c r="AB11" s="25">
        <v>0</v>
      </c>
      <c r="AC11" s="25">
        <v>0</v>
      </c>
      <c r="AD11" s="25">
        <v>0</v>
      </c>
      <c r="AE11" s="25">
        <v>0</v>
      </c>
      <c r="AF11" s="25">
        <v>0</v>
      </c>
      <c r="AG11" s="25">
        <v>0</v>
      </c>
      <c r="AH11" s="25">
        <v>0</v>
      </c>
    </row>
    <row r="12" spans="2:34" hidden="1" x14ac:dyDescent="0.35">
      <c r="B12" s="8" t="s">
        <v>65</v>
      </c>
      <c r="C12" s="25">
        <v>6185</v>
      </c>
      <c r="D12" s="25">
        <v>6185</v>
      </c>
      <c r="E12" s="25">
        <v>6185</v>
      </c>
      <c r="F12" s="25">
        <v>6185</v>
      </c>
      <c r="G12" s="25">
        <v>6185</v>
      </c>
      <c r="H12" s="25">
        <v>6185</v>
      </c>
      <c r="I12" s="25">
        <v>6185</v>
      </c>
      <c r="J12" s="25">
        <v>6185</v>
      </c>
      <c r="K12" s="25">
        <v>6185</v>
      </c>
      <c r="L12" s="25">
        <v>6185</v>
      </c>
      <c r="M12" s="25">
        <v>6185</v>
      </c>
      <c r="N12" s="25">
        <v>6185</v>
      </c>
      <c r="O12" s="25">
        <v>6185</v>
      </c>
      <c r="P12" s="25">
        <v>6185</v>
      </c>
      <c r="Q12" s="25">
        <v>6185</v>
      </c>
      <c r="R12" s="25">
        <v>6185</v>
      </c>
      <c r="S12" s="25">
        <v>6185</v>
      </c>
      <c r="T12" s="25">
        <v>6185</v>
      </c>
      <c r="U12" s="25">
        <v>6185</v>
      </c>
      <c r="V12" s="25">
        <v>6185</v>
      </c>
      <c r="W12" s="25">
        <v>6185</v>
      </c>
      <c r="X12" s="25">
        <v>6185</v>
      </c>
      <c r="Y12" s="25">
        <v>6185</v>
      </c>
      <c r="Z12" s="25">
        <v>6185</v>
      </c>
      <c r="AA12" s="25">
        <v>6185</v>
      </c>
      <c r="AB12" s="25">
        <v>6185</v>
      </c>
      <c r="AC12" s="25">
        <v>6185</v>
      </c>
      <c r="AD12" s="25">
        <v>6185</v>
      </c>
      <c r="AE12" s="25">
        <v>6185</v>
      </c>
      <c r="AF12" s="25">
        <v>6185</v>
      </c>
      <c r="AG12" s="25">
        <v>6185</v>
      </c>
      <c r="AH12" s="25">
        <v>6185</v>
      </c>
    </row>
    <row r="13" spans="2:34" x14ac:dyDescent="0.35">
      <c r="B13" s="8" t="s">
        <v>69</v>
      </c>
      <c r="C13" s="25"/>
      <c r="D13" s="25"/>
      <c r="E13" s="25"/>
      <c r="F13" s="25"/>
      <c r="G13" s="25"/>
      <c r="H13" s="44">
        <v>2968086</v>
      </c>
      <c r="I13" s="25">
        <v>2980067</v>
      </c>
      <c r="J13" s="25">
        <v>2990744</v>
      </c>
      <c r="K13" s="25">
        <v>2991037</v>
      </c>
      <c r="L13" s="25">
        <v>3003647</v>
      </c>
      <c r="M13" s="25">
        <v>3015954</v>
      </c>
      <c r="N13" s="25">
        <v>3027820</v>
      </c>
      <c r="O13" s="25">
        <v>3042532</v>
      </c>
      <c r="P13" s="25">
        <v>3054119</v>
      </c>
      <c r="Q13" s="25">
        <v>3062290</v>
      </c>
      <c r="R13" s="25">
        <v>3063882</v>
      </c>
      <c r="S13" s="25">
        <v>3076581</v>
      </c>
      <c r="T13" s="25">
        <v>3088580</v>
      </c>
      <c r="U13" s="25">
        <v>3104289</v>
      </c>
      <c r="V13" s="25">
        <v>3116116</v>
      </c>
      <c r="W13" s="25">
        <v>3128819</v>
      </c>
      <c r="X13" s="25">
        <v>3130932</v>
      </c>
      <c r="Y13" s="25">
        <v>3131047</v>
      </c>
      <c r="Z13" s="25">
        <v>3144692</v>
      </c>
      <c r="AA13" s="25">
        <v>3157101</v>
      </c>
      <c r="AB13" s="25">
        <v>3168687</v>
      </c>
      <c r="AC13" s="25">
        <v>3183038</v>
      </c>
      <c r="AD13" s="25">
        <v>3194853</v>
      </c>
      <c r="AE13" s="25">
        <v>3195519</v>
      </c>
      <c r="AF13" s="25">
        <v>3195743</v>
      </c>
      <c r="AG13" s="25"/>
      <c r="AH13" s="25"/>
    </row>
    <row r="14" spans="2:34" x14ac:dyDescent="0.35">
      <c r="B14" s="8" t="s">
        <v>70</v>
      </c>
      <c r="C14" s="25"/>
      <c r="D14" s="25"/>
      <c r="E14" s="25"/>
      <c r="F14" s="25"/>
      <c r="G14" s="25"/>
      <c r="H14" s="44">
        <v>180262</v>
      </c>
      <c r="I14" s="25">
        <v>185816</v>
      </c>
      <c r="J14" s="25">
        <v>190653</v>
      </c>
      <c r="K14" s="25">
        <v>195064</v>
      </c>
      <c r="L14" s="25">
        <v>199949</v>
      </c>
      <c r="M14" s="25">
        <v>206631</v>
      </c>
      <c r="N14" s="25">
        <v>210087</v>
      </c>
      <c r="O14" s="25">
        <v>214368</v>
      </c>
      <c r="P14" s="25">
        <v>220490</v>
      </c>
      <c r="Q14" s="25">
        <v>226589</v>
      </c>
      <c r="R14" s="25">
        <v>229474</v>
      </c>
      <c r="S14" s="25">
        <v>232657</v>
      </c>
      <c r="T14" s="25">
        <v>236803</v>
      </c>
      <c r="U14" s="25">
        <v>242351</v>
      </c>
      <c r="V14" s="25">
        <v>248869</v>
      </c>
      <c r="W14" s="25">
        <v>255495</v>
      </c>
      <c r="X14" s="25">
        <v>261688</v>
      </c>
      <c r="Y14" s="25">
        <v>266727</v>
      </c>
      <c r="Z14" s="25">
        <v>269888</v>
      </c>
      <c r="AA14" s="25">
        <v>275668</v>
      </c>
      <c r="AB14" s="25">
        <v>282512</v>
      </c>
      <c r="AC14" s="25">
        <v>288044</v>
      </c>
      <c r="AD14" s="25">
        <v>294440</v>
      </c>
      <c r="AE14" s="25">
        <v>297997</v>
      </c>
      <c r="AF14" s="25">
        <v>298346</v>
      </c>
      <c r="AG14" s="25"/>
      <c r="AH14" s="25"/>
    </row>
    <row r="15" spans="2:34" x14ac:dyDescent="0.35">
      <c r="B15" s="8" t="s">
        <v>79</v>
      </c>
      <c r="D15" s="45">
        <v>25</v>
      </c>
      <c r="E15" s="45">
        <v>25</v>
      </c>
      <c r="F15" s="45">
        <v>50</v>
      </c>
      <c r="G15" s="45">
        <v>40</v>
      </c>
      <c r="K15" s="45">
        <v>50</v>
      </c>
      <c r="M15" s="45">
        <v>25</v>
      </c>
      <c r="R15" s="45">
        <v>50</v>
      </c>
      <c r="S15" s="45">
        <v>15</v>
      </c>
      <c r="T15" s="45">
        <v>25</v>
      </c>
      <c r="V15" s="45">
        <v>60</v>
      </c>
      <c r="W15" s="45">
        <v>25</v>
      </c>
      <c r="Y15" s="45">
        <v>50</v>
      </c>
      <c r="Z15" s="45">
        <v>25</v>
      </c>
      <c r="AB15" s="45">
        <v>50</v>
      </c>
      <c r="AC15" s="45">
        <v>25</v>
      </c>
    </row>
    <row r="16" spans="2:34" x14ac:dyDescent="0.35">
      <c r="U16" s="46" t="s">
        <v>78</v>
      </c>
      <c r="V16" s="47"/>
    </row>
    <row r="17" spans="21:24" x14ac:dyDescent="0.35">
      <c r="U17" s="47"/>
      <c r="V17" s="47"/>
    </row>
    <row r="18" spans="21:24" x14ac:dyDescent="0.35">
      <c r="U18" s="47"/>
      <c r="V18" s="47"/>
    </row>
    <row r="21" spans="21:24" x14ac:dyDescent="0.35">
      <c r="X21" t="s">
        <v>76</v>
      </c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DJv8Ywnx4llR06KWbxohvUP4M0V7yepqPcMAnGQcgOY1eTxLyXMGWUgE3QJvgQyTiQyRFcB3wsOpolxFQz2klA==" saltValue="NLBw8PVYv90wTYsrOiZq4w==" spinCount="100000" sqref="AH2:AH9 R7:S9 P3:AG3 R2:AG2 P4:AE5 T6:AE9 AF4:AG9" name="Range1"/>
    <protectedRange algorithmName="SHA-512" hashValue="DJv8Ywnx4llR06KWbxohvUP4M0V7yepqPcMAnGQcgOY1eTxLyXMGWUgE3QJvgQyTiQyRFcB3wsOpolxFQz2klA==" saltValue="NLBw8PVYv90wTYsrOiZq4w==" spinCount="100000" sqref="C2:D9 E4 E7:E9 F7:J7" name="Range1_1"/>
  </protectedRanges>
  <mergeCells count="1">
    <mergeCell ref="U16:V18"/>
  </mergeCells>
  <printOptions horizontalCentered="1"/>
  <pageMargins left="0.11811023622047245" right="0.11811023622047245" top="0.15748031496062992" bottom="0.15748031496062992" header="0.31496062992125984" footer="0.31496062992125984"/>
  <pageSetup scale="9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9DDD-2A14-4746-BC3C-C1533FBE8EDA}">
  <sheetPr codeName="Sheet3"/>
  <dimension ref="A1:Q32"/>
  <sheetViews>
    <sheetView topLeftCell="A17" workbookViewId="0">
      <selection activeCell="G11" sqref="G11"/>
    </sheetView>
  </sheetViews>
  <sheetFormatPr defaultRowHeight="14.5" x14ac:dyDescent="0.35"/>
  <cols>
    <col min="1" max="1" width="10.36328125" bestFit="1" customWidth="1"/>
    <col min="2" max="2" width="11.26953125" bestFit="1" customWidth="1"/>
    <col min="3" max="3" width="11.26953125" customWidth="1"/>
    <col min="4" max="5" width="11.26953125" bestFit="1" customWidth="1"/>
    <col min="6" max="6" width="11.26953125" customWidth="1"/>
    <col min="7" max="7" width="11.26953125" bestFit="1" customWidth="1"/>
    <col min="8" max="10" width="11.26953125" customWidth="1"/>
    <col min="11" max="11" width="11.26953125" bestFit="1" customWidth="1"/>
    <col min="12" max="12" width="11.26953125" customWidth="1"/>
    <col min="13" max="13" width="10.90625" bestFit="1" customWidth="1"/>
  </cols>
  <sheetData>
    <row r="1" spans="1:17" ht="58" x14ac:dyDescent="0.35">
      <c r="A1" s="1" t="s">
        <v>0</v>
      </c>
      <c r="B1" s="2" t="s">
        <v>5</v>
      </c>
      <c r="C1" s="2" t="s">
        <v>13</v>
      </c>
      <c r="D1" s="2" t="s">
        <v>8</v>
      </c>
      <c r="E1" s="2" t="s">
        <v>4</v>
      </c>
      <c r="F1" s="2" t="s">
        <v>14</v>
      </c>
      <c r="G1" s="2" t="s">
        <v>9</v>
      </c>
      <c r="H1" s="2" t="s">
        <v>51</v>
      </c>
      <c r="I1" s="2" t="s">
        <v>52</v>
      </c>
      <c r="J1" s="2" t="s">
        <v>53</v>
      </c>
      <c r="K1" s="2" t="s">
        <v>7</v>
      </c>
      <c r="L1" s="2" t="s">
        <v>15</v>
      </c>
      <c r="M1" s="2" t="s">
        <v>12</v>
      </c>
      <c r="N1" s="2" t="s">
        <v>16</v>
      </c>
      <c r="O1" s="2" t="s">
        <v>17</v>
      </c>
      <c r="P1" s="2" t="s">
        <v>56</v>
      </c>
      <c r="Q1" s="2" t="s">
        <v>18</v>
      </c>
    </row>
    <row r="2" spans="1:17" x14ac:dyDescent="0.35">
      <c r="A2" s="4">
        <v>46174</v>
      </c>
      <c r="B2" s="10">
        <f>'PowerHouse Data'!D4-'PowerHouse Data'!C4</f>
        <v>0</v>
      </c>
      <c r="C2" s="7">
        <f>'PowerHouse Data'!$D$4</f>
        <v>3361</v>
      </c>
      <c r="D2" s="13">
        <f>$N$2-Table113[[#This Row],[Comp E75 -1
Run Hr]]</f>
        <v>2079</v>
      </c>
      <c r="E2" s="10">
        <f>'PowerHouse Data'!D5-'PowerHouse Data'!C5</f>
        <v>24</v>
      </c>
      <c r="F2" s="7">
        <f>'PowerHouse Data'!$D$5</f>
        <v>6006</v>
      </c>
      <c r="G2" s="13">
        <f>$O$2-Table113[[#This Row],[Comp E75 -2
Run Hr]]</f>
        <v>2060</v>
      </c>
      <c r="H2" s="10">
        <f>'PowerHouse Data'!D6-'PowerHouse Data'!C6</f>
        <v>23</v>
      </c>
      <c r="I2" s="7">
        <f>'PowerHouse Data'!$D$6</f>
        <v>172</v>
      </c>
      <c r="J2" s="13">
        <f>$P$2-Table113[[#This Row],[Comp E75 -3
Run Hr]]</f>
        <v>3828</v>
      </c>
      <c r="K2" s="10">
        <f>'PowerHouse Data'!D7-'PowerHouse Data'!C7</f>
        <v>0</v>
      </c>
      <c r="L2" s="7">
        <f>'PowerHouse Data'!$D$7</f>
        <v>25725</v>
      </c>
      <c r="M2" s="13">
        <f>$Q$2-Table113[[#This Row],[Comp E55 Run Hr]]</f>
        <v>1205</v>
      </c>
      <c r="N2" s="19">
        <v>5440</v>
      </c>
      <c r="O2" s="19">
        <v>8066</v>
      </c>
      <c r="P2" s="19">
        <v>4000</v>
      </c>
      <c r="Q2" s="19">
        <v>26930</v>
      </c>
    </row>
    <row r="3" spans="1:17" x14ac:dyDescent="0.35">
      <c r="A3" s="4">
        <v>46175</v>
      </c>
      <c r="B3" s="5">
        <f>Table113[[#This Row],[Comp E75 -1
Run Hr]]-C2</f>
        <v>0</v>
      </c>
      <c r="C3" s="7">
        <f>'PowerHouse Data'!$E$4</f>
        <v>3361</v>
      </c>
      <c r="D3" s="13">
        <f>$N$2-Table113[[#This Row],[Comp E75 -1
Run Hr]]</f>
        <v>2079</v>
      </c>
      <c r="E3" s="5">
        <f>Table113[[#This Row],[Comp E75 -2
Run Hr]]-F2</f>
        <v>24</v>
      </c>
      <c r="F3" s="7">
        <f>'PowerHouse Data'!$E$5</f>
        <v>6030</v>
      </c>
      <c r="G3" s="13">
        <f>$O$2-Table113[[#This Row],[Comp E75 -2
Run Hr]]</f>
        <v>2036</v>
      </c>
      <c r="H3" s="5">
        <f>Table113[[#This Row],[Comp E75 -3
Run Hr]]-I2</f>
        <v>24</v>
      </c>
      <c r="I3" s="7">
        <f>'PowerHouse Data'!$E$6</f>
        <v>196</v>
      </c>
      <c r="J3" s="13">
        <f>$P$2-Table113[[#This Row],[Comp E75 -3
Run Hr]]</f>
        <v>3804</v>
      </c>
      <c r="K3" s="5">
        <f>Table113[[#This Row],[Comp E55 Run Hr]]-L2</f>
        <v>0</v>
      </c>
      <c r="L3" s="7">
        <f>'PowerHouse Data'!$E$7</f>
        <v>25725</v>
      </c>
      <c r="M3" s="13">
        <f>$Q$2-Table113[[#This Row],[Comp E55 Run Hr]]</f>
        <v>1205</v>
      </c>
      <c r="N3" s="29"/>
      <c r="O3" s="29"/>
      <c r="P3" s="29"/>
      <c r="Q3" s="29"/>
    </row>
    <row r="4" spans="1:17" x14ac:dyDescent="0.35">
      <c r="A4" s="4">
        <v>46176</v>
      </c>
      <c r="B4" s="5">
        <f>Table113[[#This Row],[Comp E75 -1
Run Hr]]-C3</f>
        <v>22</v>
      </c>
      <c r="C4" s="7">
        <f>'PowerHouse Data'!$F$4</f>
        <v>3383</v>
      </c>
      <c r="D4" s="13">
        <f>$N$2-Table113[[#This Row],[Comp E75 -1
Run Hr]]</f>
        <v>2057</v>
      </c>
      <c r="E4" s="5">
        <f>Table113[[#This Row],[Comp E75 -2
Run Hr]]-F3</f>
        <v>0</v>
      </c>
      <c r="F4" s="7">
        <f>'PowerHouse Data'!$F$5</f>
        <v>6030</v>
      </c>
      <c r="G4" s="13">
        <f>$O$2-Table113[[#This Row],[Comp E75 -2
Run Hr]]</f>
        <v>2036</v>
      </c>
      <c r="H4" s="5">
        <f>Table113[[#This Row],[Comp E75 -3
Run Hr]]-I3</f>
        <v>18</v>
      </c>
      <c r="I4" s="7">
        <f>'PowerHouse Data'!$F$6</f>
        <v>214</v>
      </c>
      <c r="J4" s="13">
        <f>$P$2-Table113[[#This Row],[Comp E75 -3
Run Hr]]</f>
        <v>3786</v>
      </c>
      <c r="K4" s="5">
        <f>Table113[[#This Row],[Comp E55 Run Hr]]-L3</f>
        <v>0</v>
      </c>
      <c r="L4" s="7">
        <f>'PowerHouse Data'!$F$7</f>
        <v>25725</v>
      </c>
      <c r="M4" s="13">
        <f>$Q$2-Table113[[#This Row],[Comp E55 Run Hr]]</f>
        <v>1205</v>
      </c>
      <c r="N4" s="29"/>
      <c r="O4" s="29"/>
      <c r="P4" s="29"/>
      <c r="Q4" s="29"/>
    </row>
    <row r="5" spans="1:17" x14ac:dyDescent="0.35">
      <c r="A5" s="4">
        <v>46177</v>
      </c>
      <c r="B5" s="5">
        <f>Table113[[#This Row],[Comp E75 -1
Run Hr]]-C4</f>
        <v>23</v>
      </c>
      <c r="C5" s="7">
        <f>'PowerHouse Data'!$G$4</f>
        <v>3406</v>
      </c>
      <c r="D5" s="13">
        <f>$N$2-Table113[[#This Row],[Comp E75 -1
Run Hr]]</f>
        <v>2034</v>
      </c>
      <c r="E5" s="5">
        <f>Table113[[#This Row],[Comp E75 -2
Run Hr]]-F4</f>
        <v>24</v>
      </c>
      <c r="F5" s="7">
        <f>'PowerHouse Data'!$G$5</f>
        <v>6054</v>
      </c>
      <c r="G5" s="13">
        <f>$O$2-Table113[[#This Row],[Comp E75 -2
Run Hr]]</f>
        <v>2012</v>
      </c>
      <c r="H5" s="5">
        <f>Table113[[#This Row],[Comp E75 -3
Run Hr]]-I4</f>
        <v>0</v>
      </c>
      <c r="I5" s="7">
        <f>'PowerHouse Data'!$G$6</f>
        <v>214</v>
      </c>
      <c r="J5" s="13">
        <f>$P$2-Table113[[#This Row],[Comp E75 -3
Run Hr]]</f>
        <v>3786</v>
      </c>
      <c r="K5" s="5">
        <f>Table113[[#This Row],[Comp E55 Run Hr]]-L4</f>
        <v>0</v>
      </c>
      <c r="L5" s="7">
        <f>'PowerHouse Data'!$G$7</f>
        <v>25725</v>
      </c>
      <c r="M5" s="13">
        <f>$Q$2-Table113[[#This Row],[Comp E55 Run Hr]]</f>
        <v>1205</v>
      </c>
      <c r="N5" s="29"/>
      <c r="O5" s="29"/>
      <c r="P5" s="29"/>
      <c r="Q5" s="29"/>
    </row>
    <row r="6" spans="1:17" x14ac:dyDescent="0.35">
      <c r="A6" s="4">
        <v>46179</v>
      </c>
      <c r="B6" s="5">
        <f>Table113[[#This Row],[Comp E75 -1
Run Hr]]-C5</f>
        <v>0</v>
      </c>
      <c r="C6" s="7">
        <f>'PowerHouse Data'!$H$4</f>
        <v>3406</v>
      </c>
      <c r="D6" s="13">
        <f>$N$2-Table113[[#This Row],[Comp E75 -1
Run Hr]]</f>
        <v>2034</v>
      </c>
      <c r="E6" s="5">
        <f>Table113[[#This Row],[Comp E75 -2
Run Hr]]-F5</f>
        <v>24</v>
      </c>
      <c r="F6" s="7">
        <f>'PowerHouse Data'!$H$5</f>
        <v>6078</v>
      </c>
      <c r="G6" s="13">
        <f>$O$2-Table113[[#This Row],[Comp E75 -2
Run Hr]]</f>
        <v>1988</v>
      </c>
      <c r="H6" s="5">
        <f>Table113[[#This Row],[Comp E75 -3
Run Hr]]-I5</f>
        <v>24</v>
      </c>
      <c r="I6" s="7">
        <f>'PowerHouse Data'!$H$6</f>
        <v>238</v>
      </c>
      <c r="J6" s="13">
        <f>$P$2-Table113[[#This Row],[Comp E75 -3
Run Hr]]</f>
        <v>3762</v>
      </c>
      <c r="K6" s="5">
        <f>Table113[[#This Row],[Comp E55 Run Hr]]-L5</f>
        <v>0</v>
      </c>
      <c r="L6" s="7">
        <f>'PowerHouse Data'!$H$7</f>
        <v>25725</v>
      </c>
      <c r="M6" s="13">
        <f>$Q$2-Table113[[#This Row],[Comp E55 Run Hr]]</f>
        <v>1205</v>
      </c>
      <c r="N6" s="29"/>
      <c r="O6" s="29"/>
      <c r="P6" s="29"/>
      <c r="Q6" s="29"/>
    </row>
    <row r="7" spans="1:17" x14ac:dyDescent="0.35">
      <c r="A7" s="4">
        <v>46179</v>
      </c>
      <c r="B7" s="5">
        <f>Table113[[#This Row],[Comp E75 -1
Run Hr]]-C6</f>
        <v>23</v>
      </c>
      <c r="C7" s="7">
        <f>'PowerHouse Data'!$I$4</f>
        <v>3429</v>
      </c>
      <c r="D7" s="13">
        <f>$N$2-Table113[[#This Row],[Comp E75 -1
Run Hr]]</f>
        <v>2011</v>
      </c>
      <c r="E7" s="5">
        <f>Table113[[#This Row],[Comp E75 -2
Run Hr]]-F6</f>
        <v>0</v>
      </c>
      <c r="F7" s="7">
        <f>'PowerHouse Data'!$I$5</f>
        <v>6078</v>
      </c>
      <c r="G7" s="13">
        <f>$O$2-Table113[[#This Row],[Comp E75 -2
Run Hr]]</f>
        <v>1988</v>
      </c>
      <c r="H7" s="5">
        <f>Table113[[#This Row],[Comp E75 -3
Run Hr]]-I6</f>
        <v>23</v>
      </c>
      <c r="I7" s="7">
        <f>'PowerHouse Data'!$I$6</f>
        <v>261</v>
      </c>
      <c r="J7" s="13">
        <f>$P$2-Table113[[#This Row],[Comp E75 -3
Run Hr]]</f>
        <v>3739</v>
      </c>
      <c r="K7" s="5">
        <f>Table113[[#This Row],[Comp E55 Run Hr]]-L6</f>
        <v>0</v>
      </c>
      <c r="L7" s="7">
        <f>'PowerHouse Data'!$I$7</f>
        <v>25725</v>
      </c>
      <c r="M7" s="13">
        <f>$Q$2-Table113[[#This Row],[Comp E55 Run Hr]]</f>
        <v>1205</v>
      </c>
      <c r="N7" s="29"/>
      <c r="O7" s="29"/>
      <c r="P7" s="29"/>
      <c r="Q7" s="29"/>
    </row>
    <row r="8" spans="1:17" x14ac:dyDescent="0.35">
      <c r="A8" s="4">
        <v>46180</v>
      </c>
      <c r="B8" s="5">
        <f>Table113[[#This Row],[Comp E75 -1
Run Hr]]-C7</f>
        <v>10</v>
      </c>
      <c r="C8" s="7">
        <f>'PowerHouse Data'!$J$4</f>
        <v>3439</v>
      </c>
      <c r="D8" s="13">
        <f>$N$2-Table113[[#This Row],[Comp E75 -1
Run Hr]]</f>
        <v>2001</v>
      </c>
      <c r="E8" s="5">
        <f>Table113[[#This Row],[Comp E75 -2
Run Hr]]-F7</f>
        <v>23</v>
      </c>
      <c r="F8" s="7">
        <f>'PowerHouse Data'!$J$5</f>
        <v>6101</v>
      </c>
      <c r="G8" s="13">
        <f>$O$2-Table113[[#This Row],[Comp E75 -2
Run Hr]]</f>
        <v>1965</v>
      </c>
      <c r="H8" s="5">
        <f>Table113[[#This Row],[Comp E75 -3
Run Hr]]-I7</f>
        <v>11</v>
      </c>
      <c r="I8" s="7">
        <f>'PowerHouse Data'!$J$6</f>
        <v>272</v>
      </c>
      <c r="J8" s="13">
        <f>$P$2-Table113[[#This Row],[Comp E75 -3
Run Hr]]</f>
        <v>3728</v>
      </c>
      <c r="K8" s="5">
        <f>Table113[[#This Row],[Comp E55 Run Hr]]-L7</f>
        <v>1</v>
      </c>
      <c r="L8" s="7">
        <f>'PowerHouse Data'!$J$7</f>
        <v>25726</v>
      </c>
      <c r="M8" s="13">
        <f>$Q$2-Table113[[#This Row],[Comp E55 Run Hr]]</f>
        <v>1204</v>
      </c>
      <c r="N8" s="29"/>
      <c r="O8" s="29"/>
      <c r="P8" s="29"/>
      <c r="Q8" s="29"/>
    </row>
    <row r="9" spans="1:17" x14ac:dyDescent="0.35">
      <c r="A9" s="4">
        <v>46181</v>
      </c>
      <c r="B9" s="5">
        <f>Table113[[#This Row],[Comp E75 -1
Run Hr]]-C8</f>
        <v>0</v>
      </c>
      <c r="C9" s="7">
        <f>'PowerHouse Data'!$K$4</f>
        <v>3439</v>
      </c>
      <c r="D9" s="13">
        <f>$N$2-Table113[[#This Row],[Comp E75 -1
Run Hr]]</f>
        <v>2001</v>
      </c>
      <c r="E9" s="5">
        <f>Table113[[#This Row],[Comp E75 -2
Run Hr]]-F8</f>
        <v>0</v>
      </c>
      <c r="F9" s="7">
        <f>'PowerHouse Data'!$K$5</f>
        <v>6101</v>
      </c>
      <c r="G9" s="13">
        <f>$O$2-Table113[[#This Row],[Comp E75 -2
Run Hr]]</f>
        <v>1965</v>
      </c>
      <c r="H9" s="5">
        <f>Table113[[#This Row],[Comp E75 -3
Run Hr]]-I8</f>
        <v>0</v>
      </c>
      <c r="I9" s="7">
        <f>'PowerHouse Data'!$K$6</f>
        <v>272</v>
      </c>
      <c r="J9" s="13">
        <f>$P$2-Table113[[#This Row],[Comp E75 -3
Run Hr]]</f>
        <v>3728</v>
      </c>
      <c r="K9" s="5">
        <f>Table113[[#This Row],[Comp E55 Run Hr]]-L8</f>
        <v>24</v>
      </c>
      <c r="L9" s="7">
        <f>'PowerHouse Data'!$K$7</f>
        <v>25750</v>
      </c>
      <c r="M9" s="13">
        <f>$Q$2-Table113[[#This Row],[Comp E55 Run Hr]]</f>
        <v>1180</v>
      </c>
      <c r="N9" s="29"/>
      <c r="O9" s="29"/>
      <c r="P9" s="29"/>
      <c r="Q9" s="29"/>
    </row>
    <row r="10" spans="1:17" x14ac:dyDescent="0.35">
      <c r="A10" s="4">
        <v>46182</v>
      </c>
      <c r="B10" s="5">
        <f>Table113[[#This Row],[Comp E75 -1
Run Hr]]-C9</f>
        <v>23</v>
      </c>
      <c r="C10" s="7">
        <f>'PowerHouse Data'!$L$4</f>
        <v>3462</v>
      </c>
      <c r="D10" s="13">
        <f>$N$2-Table113[[#This Row],[Comp E75 -1
Run Hr]]</f>
        <v>1978</v>
      </c>
      <c r="E10" s="5">
        <f>Table113[[#This Row],[Comp E75 -2
Run Hr]]-F9</f>
        <v>24</v>
      </c>
      <c r="F10" s="7">
        <f>'PowerHouse Data'!$L$5</f>
        <v>6125</v>
      </c>
      <c r="G10" s="13">
        <f>$O$2-Table113[[#This Row],[Comp E75 -2
Run Hr]]</f>
        <v>1941</v>
      </c>
      <c r="H10" s="5">
        <f>Table113[[#This Row],[Comp E75 -3
Run Hr]]-I9</f>
        <v>0</v>
      </c>
      <c r="I10" s="7">
        <f>'PowerHouse Data'!$L$6</f>
        <v>272</v>
      </c>
      <c r="J10" s="13">
        <f>$P$2-Table113[[#This Row],[Comp E75 -3
Run Hr]]</f>
        <v>3728</v>
      </c>
      <c r="K10" s="5">
        <f>Table113[[#This Row],[Comp E55 Run Hr]]-L9</f>
        <v>0</v>
      </c>
      <c r="L10" s="7">
        <f>'PowerHouse Data'!$L$7</f>
        <v>25750</v>
      </c>
      <c r="M10" s="13">
        <f>$Q$2-Table113[[#This Row],[Comp E55 Run Hr]]</f>
        <v>1180</v>
      </c>
      <c r="N10" s="29"/>
      <c r="O10" s="29"/>
      <c r="P10" s="29"/>
      <c r="Q10" s="29"/>
    </row>
    <row r="11" spans="1:17" x14ac:dyDescent="0.35">
      <c r="A11" s="4">
        <v>46183</v>
      </c>
      <c r="B11" s="5">
        <f>Table113[[#This Row],[Comp E75 -1
Run Hr]]-C10</f>
        <v>0</v>
      </c>
      <c r="C11" s="7">
        <f>'PowerHouse Data'!$M$4</f>
        <v>3462</v>
      </c>
      <c r="D11" s="13">
        <f>$N$2-Table113[[#This Row],[Comp E75 -1
Run Hr]]</f>
        <v>1978</v>
      </c>
      <c r="E11" s="5">
        <f>Table113[[#This Row],[Comp E75 -2
Run Hr]]-F10</f>
        <v>23</v>
      </c>
      <c r="F11" s="7">
        <f>'PowerHouse Data'!$M$5</f>
        <v>6148</v>
      </c>
      <c r="G11" s="13">
        <f>$O$2-Table113[[#This Row],[Comp E75 -2
Run Hr]]</f>
        <v>1918</v>
      </c>
      <c r="H11" s="5">
        <f>Table113[[#This Row],[Comp E75 -3
Run Hr]]-I10</f>
        <v>24</v>
      </c>
      <c r="I11" s="7">
        <f>'PowerHouse Data'!$M$6</f>
        <v>296</v>
      </c>
      <c r="J11" s="13">
        <f>$P$2-Table113[[#This Row],[Comp E75 -3
Run Hr]]</f>
        <v>3704</v>
      </c>
      <c r="K11" s="5">
        <f>Table113[[#This Row],[Comp E55 Run Hr]]-L10</f>
        <v>0</v>
      </c>
      <c r="L11" s="7">
        <f>'PowerHouse Data'!$M$7</f>
        <v>25750</v>
      </c>
      <c r="M11" s="13">
        <f>$Q$2-Table113[[#This Row],[Comp E55 Run Hr]]</f>
        <v>1180</v>
      </c>
      <c r="N11" s="29"/>
      <c r="O11" s="29"/>
      <c r="P11" s="29"/>
      <c r="Q11" s="29"/>
    </row>
    <row r="12" spans="1:17" x14ac:dyDescent="0.35">
      <c r="A12" s="4">
        <v>46184</v>
      </c>
      <c r="B12" s="5">
        <f>Table113[[#This Row],[Comp E75 -1
Run Hr]]-C11</f>
        <v>23</v>
      </c>
      <c r="C12" s="7">
        <f>'PowerHouse Data'!$N$4</f>
        <v>3485</v>
      </c>
      <c r="D12" s="13">
        <f>$N$2-Table113[[#This Row],[Comp E75 -1
Run Hr]]</f>
        <v>1955</v>
      </c>
      <c r="E12" s="5">
        <f>Table113[[#This Row],[Comp E75 -2
Run Hr]]-F11</f>
        <v>0</v>
      </c>
      <c r="F12" s="7">
        <f>'PowerHouse Data'!$N$5</f>
        <v>6148</v>
      </c>
      <c r="G12" s="13">
        <f>$O$2-Table113[[#This Row],[Comp E75 -2
Run Hr]]</f>
        <v>1918</v>
      </c>
      <c r="H12" s="5">
        <f>Table113[[#This Row],[Comp E75 -3
Run Hr]]-I11</f>
        <v>24</v>
      </c>
      <c r="I12" s="7">
        <f>'PowerHouse Data'!$N$6</f>
        <v>320</v>
      </c>
      <c r="J12" s="13">
        <f>$P$2-Table113[[#This Row],[Comp E75 -3
Run Hr]]</f>
        <v>3680</v>
      </c>
      <c r="K12" s="5">
        <f>Table113[[#This Row],[Comp E55 Run Hr]]-L11</f>
        <v>0</v>
      </c>
      <c r="L12" s="7">
        <f>'PowerHouse Data'!$N$7</f>
        <v>25750</v>
      </c>
      <c r="M12" s="13">
        <f>$Q$2-Table113[[#This Row],[Comp E55 Run Hr]]</f>
        <v>1180</v>
      </c>
      <c r="N12" s="29"/>
      <c r="O12" s="29"/>
      <c r="P12" s="29"/>
      <c r="Q12" s="29"/>
    </row>
    <row r="13" spans="1:17" x14ac:dyDescent="0.35">
      <c r="A13" s="4">
        <v>46185</v>
      </c>
      <c r="B13" s="5">
        <f>Table113[[#This Row],[Comp E75 -1
Run Hr]]-C12</f>
        <v>23</v>
      </c>
      <c r="C13" s="7">
        <f>'PowerHouse Data'!$O$4</f>
        <v>3508</v>
      </c>
      <c r="D13" s="13">
        <f>$N$2-Table113[[#This Row],[Comp E75 -1
Run Hr]]</f>
        <v>1932</v>
      </c>
      <c r="E13" s="5">
        <f>Table113[[#This Row],[Comp E75 -2
Run Hr]]-F12</f>
        <v>24</v>
      </c>
      <c r="F13" s="7">
        <f>'PowerHouse Data'!$O$5</f>
        <v>6172</v>
      </c>
      <c r="G13" s="13">
        <f>$O$2-Table113[[#This Row],[Comp E75 -2
Run Hr]]</f>
        <v>1894</v>
      </c>
      <c r="H13" s="5">
        <f>Table113[[#This Row],[Comp E75 -3
Run Hr]]-I12</f>
        <v>0</v>
      </c>
      <c r="I13" s="7">
        <f>'PowerHouse Data'!$O$6</f>
        <v>320</v>
      </c>
      <c r="J13" s="13">
        <f>$P$2-Table113[[#This Row],[Comp E75 -3
Run Hr]]</f>
        <v>3680</v>
      </c>
      <c r="K13" s="5">
        <f>Table113[[#This Row],[Comp E55 Run Hr]]-L12</f>
        <v>0</v>
      </c>
      <c r="L13" s="7">
        <f>'PowerHouse Data'!$O$7</f>
        <v>25750</v>
      </c>
      <c r="M13" s="13">
        <f>$Q$2-Table113[[#This Row],[Comp E55 Run Hr]]</f>
        <v>1180</v>
      </c>
      <c r="N13" s="29"/>
      <c r="O13" s="29"/>
      <c r="P13" s="29"/>
      <c r="Q13" s="29"/>
    </row>
    <row r="14" spans="1:17" x14ac:dyDescent="0.35">
      <c r="A14" s="4">
        <v>46186</v>
      </c>
      <c r="B14" s="5">
        <f>Table113[[#This Row],[Comp E75 -1
Run Hr]]-C13</f>
        <v>0</v>
      </c>
      <c r="C14" s="7">
        <f>'PowerHouse Data'!$P$4</f>
        <v>3508</v>
      </c>
      <c r="D14" s="13">
        <f>$N$2-Table113[[#This Row],[Comp E75 -1
Run Hr]]</f>
        <v>1932</v>
      </c>
      <c r="E14" s="5">
        <f>Table113[[#This Row],[Comp E75 -2
Run Hr]]-F13</f>
        <v>24</v>
      </c>
      <c r="F14" s="7">
        <f>'PowerHouse Data'!$P$5</f>
        <v>6196</v>
      </c>
      <c r="G14" s="13">
        <f>$O$2-Table113[[#This Row],[Comp E75 -2
Run Hr]]</f>
        <v>1870</v>
      </c>
      <c r="H14" s="5">
        <f>Table113[[#This Row],[Comp E75 -3
Run Hr]]-I13</f>
        <v>24</v>
      </c>
      <c r="I14" s="7">
        <f>'PowerHouse Data'!$P$6</f>
        <v>344</v>
      </c>
      <c r="J14" s="13">
        <f>$P$2-Table113[[#This Row],[Comp E75 -3
Run Hr]]</f>
        <v>3656</v>
      </c>
      <c r="K14" s="5">
        <f>Table113[[#This Row],[Comp E55 Run Hr]]-L13</f>
        <v>0</v>
      </c>
      <c r="L14" s="7">
        <f>'PowerHouse Data'!$P$7</f>
        <v>25750</v>
      </c>
      <c r="M14" s="13">
        <f>$Q$2-Table113[[#This Row],[Comp E55 Run Hr]]</f>
        <v>1180</v>
      </c>
      <c r="N14" s="29"/>
      <c r="O14" s="29"/>
      <c r="P14" s="29"/>
      <c r="Q14" s="29"/>
    </row>
    <row r="15" spans="1:17" x14ac:dyDescent="0.35">
      <c r="A15" s="4">
        <v>46187</v>
      </c>
      <c r="B15" s="5">
        <f>Table113[[#This Row],[Comp E75 -1
Run Hr]]-C14</f>
        <v>18</v>
      </c>
      <c r="C15" s="7">
        <f>'PowerHouse Data'!$Q$4</f>
        <v>3526</v>
      </c>
      <c r="D15" s="13">
        <f>$N$2-Table113[[#This Row],[Comp E75 -1
Run Hr]]</f>
        <v>1914</v>
      </c>
      <c r="E15" s="5">
        <f>Table113[[#This Row],[Comp E75 -2
Run Hr]]-F14</f>
        <v>0</v>
      </c>
      <c r="F15" s="7">
        <f>'PowerHouse Data'!$Q$5</f>
        <v>6196</v>
      </c>
      <c r="G15" s="13">
        <f>$O$2-Table113[[#This Row],[Comp E75 -2
Run Hr]]</f>
        <v>1870</v>
      </c>
      <c r="H15" s="5">
        <f>Table113[[#This Row],[Comp E75 -3
Run Hr]]-I14</f>
        <v>20</v>
      </c>
      <c r="I15" s="7">
        <f>'PowerHouse Data'!$Q$6</f>
        <v>364</v>
      </c>
      <c r="J15" s="13">
        <f>$P$2-Table113[[#This Row],[Comp E75 -3
Run Hr]]</f>
        <v>3636</v>
      </c>
      <c r="K15" s="5">
        <f>Table113[[#This Row],[Comp E55 Run Hr]]-L14</f>
        <v>0</v>
      </c>
      <c r="L15" s="7">
        <f>'PowerHouse Data'!$Q$7</f>
        <v>25750</v>
      </c>
      <c r="M15" s="13">
        <f>$Q$2-Table113[[#This Row],[Comp E55 Run Hr]]</f>
        <v>1180</v>
      </c>
      <c r="N15" s="29"/>
      <c r="O15" s="29"/>
      <c r="P15" s="29"/>
      <c r="Q15" s="29"/>
    </row>
    <row r="16" spans="1:17" x14ac:dyDescent="0.35">
      <c r="A16" s="4">
        <v>46188</v>
      </c>
      <c r="B16" s="5">
        <f>Table113[[#This Row],[Comp E75 -1
Run Hr]]-C15</f>
        <v>4</v>
      </c>
      <c r="C16" s="7">
        <f>'PowerHouse Data'!$R$4</f>
        <v>3530</v>
      </c>
      <c r="D16" s="13">
        <f>$N$2-Table113[[#This Row],[Comp E75 -1
Run Hr]]</f>
        <v>1910</v>
      </c>
      <c r="E16" s="5">
        <f>Table113[[#This Row],[Comp E75 -2
Run Hr]]-F15</f>
        <v>10</v>
      </c>
      <c r="F16" s="7">
        <f>'PowerHouse Data'!$R$5</f>
        <v>6206</v>
      </c>
      <c r="G16" s="13">
        <f>$O$2-Table113[[#This Row],[Comp E75 -2
Run Hr]]</f>
        <v>1860</v>
      </c>
      <c r="H16" s="5">
        <f>Table113[[#This Row],[Comp E75 -3
Run Hr]]-I15</f>
        <v>3</v>
      </c>
      <c r="I16" s="7">
        <f>'PowerHouse Data'!$R$6</f>
        <v>367</v>
      </c>
      <c r="J16" s="13">
        <f>$P$2-Table113[[#This Row],[Comp E75 -3
Run Hr]]</f>
        <v>3633</v>
      </c>
      <c r="K16" s="5">
        <f>Table113[[#This Row],[Comp E55 Run Hr]]-L15</f>
        <v>10</v>
      </c>
      <c r="L16" s="7">
        <f>'PowerHouse Data'!$R$7</f>
        <v>25760</v>
      </c>
      <c r="M16" s="13">
        <f>$Q$2-Table113[[#This Row],[Comp E55 Run Hr]]</f>
        <v>1170</v>
      </c>
      <c r="N16" s="29"/>
      <c r="O16" s="29"/>
      <c r="P16" s="29"/>
      <c r="Q16" s="29"/>
    </row>
    <row r="17" spans="1:17" x14ac:dyDescent="0.35">
      <c r="A17" s="4">
        <v>46189</v>
      </c>
      <c r="B17" s="5">
        <f>Table113[[#This Row],[Comp E75 -1
Run Hr]]-C16</f>
        <v>0</v>
      </c>
      <c r="C17" s="7">
        <f>'PowerHouse Data'!$S$4</f>
        <v>3530</v>
      </c>
      <c r="D17" s="13">
        <f>$N$2-Table113[[#This Row],[Comp E75 -1
Run Hr]]</f>
        <v>1910</v>
      </c>
      <c r="E17" s="5">
        <f>Table113[[#This Row],[Comp E75 -2
Run Hr]]-F16</f>
        <v>23</v>
      </c>
      <c r="F17" s="7">
        <f>'PowerHouse Data'!$S$5</f>
        <v>6229</v>
      </c>
      <c r="G17" s="13">
        <f>$O$2-Table113[[#This Row],[Comp E75 -2
Run Hr]]</f>
        <v>1837</v>
      </c>
      <c r="H17" s="5">
        <f>Table113[[#This Row],[Comp E75 -3
Run Hr]]-I16</f>
        <v>22</v>
      </c>
      <c r="I17" s="7">
        <f>'PowerHouse Data'!$S$6</f>
        <v>389</v>
      </c>
      <c r="J17" s="13">
        <f>$P$2-Table113[[#This Row],[Comp E75 -3
Run Hr]]</f>
        <v>3611</v>
      </c>
      <c r="K17" s="5">
        <f>Table113[[#This Row],[Comp E55 Run Hr]]-L16</f>
        <v>2</v>
      </c>
      <c r="L17" s="7">
        <f>'PowerHouse Data'!$S$7</f>
        <v>25762</v>
      </c>
      <c r="M17" s="13">
        <f>$Q$2-Table113[[#This Row],[Comp E55 Run Hr]]</f>
        <v>1168</v>
      </c>
      <c r="N17" s="29"/>
      <c r="O17" s="29"/>
      <c r="P17" s="29"/>
      <c r="Q17" s="29"/>
    </row>
    <row r="18" spans="1:17" x14ac:dyDescent="0.35">
      <c r="A18" s="4">
        <v>46190</v>
      </c>
      <c r="B18" s="5">
        <f>Table113[[#This Row],[Comp E75 -1
Run Hr]]-C17</f>
        <v>23</v>
      </c>
      <c r="C18" s="7">
        <f>'PowerHouse Data'!$T$4</f>
        <v>3553</v>
      </c>
      <c r="D18" s="13">
        <f>$N$2-Table113[[#This Row],[Comp E75 -1
Run Hr]]</f>
        <v>1887</v>
      </c>
      <c r="E18" s="5">
        <f>Table113[[#This Row],[Comp E75 -2
Run Hr]]-F17</f>
        <v>0</v>
      </c>
      <c r="F18" s="7">
        <f>'PowerHouse Data'!$T$5</f>
        <v>6229</v>
      </c>
      <c r="G18" s="13">
        <f>$O$2-Table113[[#This Row],[Comp E75 -2
Run Hr]]</f>
        <v>1837</v>
      </c>
      <c r="H18" s="5">
        <f>Table113[[#This Row],[Comp E75 -3
Run Hr]]-I17</f>
        <v>24</v>
      </c>
      <c r="I18" s="7">
        <f>'PowerHouse Data'!$T$6</f>
        <v>413</v>
      </c>
      <c r="J18" s="13">
        <f>$P$2-Table113[[#This Row],[Comp E75 -3
Run Hr]]</f>
        <v>3587</v>
      </c>
      <c r="K18" s="5">
        <f>Table113[[#This Row],[Comp E55 Run Hr]]-L17</f>
        <v>0</v>
      </c>
      <c r="L18" s="7">
        <f>'PowerHouse Data'!$T$7</f>
        <v>25762</v>
      </c>
      <c r="M18" s="13">
        <f>$Q$2-Table113[[#This Row],[Comp E55 Run Hr]]</f>
        <v>1168</v>
      </c>
      <c r="N18" s="29"/>
      <c r="O18" s="29"/>
      <c r="P18" s="29"/>
      <c r="Q18" s="29"/>
    </row>
    <row r="19" spans="1:17" x14ac:dyDescent="0.35">
      <c r="A19" s="4">
        <v>46191</v>
      </c>
      <c r="B19" s="5">
        <f>Table113[[#This Row],[Comp E75 -1
Run Hr]]-C18</f>
        <v>24</v>
      </c>
      <c r="C19" s="7">
        <f>'PowerHouse Data'!$U$4</f>
        <v>3577</v>
      </c>
      <c r="D19" s="13">
        <f>$N$2-Table113[[#This Row],[Comp E75 -1
Run Hr]]</f>
        <v>1863</v>
      </c>
      <c r="E19" s="5">
        <f>Table113[[#This Row],[Comp E75 -2
Run Hr]]-F18</f>
        <v>24</v>
      </c>
      <c r="F19" s="7">
        <f>'PowerHouse Data'!$U$5</f>
        <v>6253</v>
      </c>
      <c r="G19" s="13">
        <f>$O$2-Table113[[#This Row],[Comp E75 -2
Run Hr]]</f>
        <v>1813</v>
      </c>
      <c r="H19" s="5">
        <f>Table113[[#This Row],[Comp E75 -3
Run Hr]]-I18</f>
        <v>0</v>
      </c>
      <c r="I19" s="7">
        <f>'PowerHouse Data'!$U$6</f>
        <v>413</v>
      </c>
      <c r="J19" s="13">
        <f>$P$2-Table113[[#This Row],[Comp E75 -3
Run Hr]]</f>
        <v>3587</v>
      </c>
      <c r="K19" s="5">
        <f>Table113[[#This Row],[Comp E55 Run Hr]]-L18</f>
        <v>0</v>
      </c>
      <c r="L19" s="7">
        <f>'PowerHouse Data'!$U$7</f>
        <v>25762</v>
      </c>
      <c r="M19" s="13">
        <f>$Q$2-Table113[[#This Row],[Comp E55 Run Hr]]</f>
        <v>1168</v>
      </c>
      <c r="N19" s="29"/>
      <c r="O19" s="29"/>
      <c r="P19" s="29"/>
      <c r="Q19" s="29"/>
    </row>
    <row r="20" spans="1:17" x14ac:dyDescent="0.35">
      <c r="A20" s="4">
        <v>46192</v>
      </c>
      <c r="B20" s="5">
        <f>Table113[[#This Row],[Comp E75 -1
Run Hr]]-C19</f>
        <v>0</v>
      </c>
      <c r="C20" s="7">
        <f>'PowerHouse Data'!$V$4</f>
        <v>3577</v>
      </c>
      <c r="D20" s="13">
        <f>$N$2-Table113[[#This Row],[Comp E75 -1
Run Hr]]</f>
        <v>1863</v>
      </c>
      <c r="E20" s="5">
        <f>Table113[[#This Row],[Comp E75 -2
Run Hr]]-F19</f>
        <v>23</v>
      </c>
      <c r="F20" s="7">
        <f>'PowerHouse Data'!$V$5</f>
        <v>6276</v>
      </c>
      <c r="G20" s="13">
        <f>$O$2-Table113[[#This Row],[Comp E75 -2
Run Hr]]</f>
        <v>1790</v>
      </c>
      <c r="H20" s="5">
        <f>Table113[[#This Row],[Comp E75 -3
Run Hr]]-I19</f>
        <v>24</v>
      </c>
      <c r="I20" s="7">
        <f>'PowerHouse Data'!$V$6</f>
        <v>437</v>
      </c>
      <c r="J20" s="13">
        <f>$P$2-Table113[[#This Row],[Comp E75 -3
Run Hr]]</f>
        <v>3563</v>
      </c>
      <c r="K20" s="5">
        <f>Table113[[#This Row],[Comp E55 Run Hr]]-L19</f>
        <v>0</v>
      </c>
      <c r="L20" s="7">
        <f>'PowerHouse Data'!$V$7</f>
        <v>25762</v>
      </c>
      <c r="M20" s="13">
        <f>$Q$2-Table113[[#This Row],[Comp E55 Run Hr]]</f>
        <v>1168</v>
      </c>
      <c r="N20" s="29"/>
      <c r="O20" s="29"/>
      <c r="P20" s="29"/>
      <c r="Q20" s="29"/>
    </row>
    <row r="21" spans="1:17" x14ac:dyDescent="0.35">
      <c r="A21" s="4">
        <v>46193</v>
      </c>
      <c r="B21" s="5">
        <f>Table113[[#This Row],[Comp E75 -1
Run Hr]]-C20</f>
        <v>23</v>
      </c>
      <c r="C21" s="7">
        <f>'PowerHouse Data'!$W$4</f>
        <v>3600</v>
      </c>
      <c r="D21" s="13">
        <f>$N$2-Table113[[#This Row],[Comp E75 -1
Run Hr]]</f>
        <v>1840</v>
      </c>
      <c r="E21" s="5">
        <f>Table113[[#This Row],[Comp E75 -2
Run Hr]]-F20</f>
        <v>0</v>
      </c>
      <c r="F21" s="7">
        <f>'PowerHouse Data'!$W$5</f>
        <v>6276</v>
      </c>
      <c r="G21" s="13">
        <f>$O$2-Table113[[#This Row],[Comp E75 -2
Run Hr]]</f>
        <v>1790</v>
      </c>
      <c r="H21" s="5">
        <f>Table113[[#This Row],[Comp E75 -3
Run Hr]]-I20</f>
        <v>24</v>
      </c>
      <c r="I21" s="7">
        <f>'PowerHouse Data'!$W$6</f>
        <v>461</v>
      </c>
      <c r="J21" s="13">
        <f>$P$2-Table113[[#This Row],[Comp E75 -3
Run Hr]]</f>
        <v>3539</v>
      </c>
      <c r="K21" s="5">
        <f>Table113[[#This Row],[Comp E55 Run Hr]]-L20</f>
        <v>0</v>
      </c>
      <c r="L21" s="7">
        <f>'PowerHouse Data'!$W$7</f>
        <v>25762</v>
      </c>
      <c r="M21" s="13">
        <f>$Q$2-Table113[[#This Row],[Comp E55 Run Hr]]</f>
        <v>1168</v>
      </c>
      <c r="N21" s="29"/>
      <c r="O21" s="29"/>
      <c r="P21" s="29"/>
      <c r="Q21" s="29"/>
    </row>
    <row r="22" spans="1:17" x14ac:dyDescent="0.35">
      <c r="A22" s="4">
        <v>46194</v>
      </c>
      <c r="B22" s="5">
        <f>Table113[[#This Row],[Comp E75 -1
Run Hr]]-C21</f>
        <v>0</v>
      </c>
      <c r="C22" s="7">
        <f>'PowerHouse Data'!$X$4</f>
        <v>3600</v>
      </c>
      <c r="D22" s="13">
        <f>$N$2-Table113[[#This Row],[Comp E75 -1
Run Hr]]</f>
        <v>1840</v>
      </c>
      <c r="E22" s="5">
        <f>Table113[[#This Row],[Comp E75 -2
Run Hr]]-F21</f>
        <v>11</v>
      </c>
      <c r="F22" s="7">
        <f>'PowerHouse Data'!$X$5</f>
        <v>6287</v>
      </c>
      <c r="G22" s="13">
        <f>$O$2-Table113[[#This Row],[Comp E75 -2
Run Hr]]</f>
        <v>1779</v>
      </c>
      <c r="H22" s="5">
        <f>Table113[[#This Row],[Comp E75 -3
Run Hr]]-I21</f>
        <v>12</v>
      </c>
      <c r="I22" s="7">
        <f>'PowerHouse Data'!$X$6</f>
        <v>473</v>
      </c>
      <c r="J22" s="13">
        <f>$P$2-Table113[[#This Row],[Comp E75 -3
Run Hr]]</f>
        <v>3527</v>
      </c>
      <c r="K22" s="5">
        <f>Table113[[#This Row],[Comp E55 Run Hr]]-L21</f>
        <v>11</v>
      </c>
      <c r="L22" s="7">
        <f>'PowerHouse Data'!$X$7</f>
        <v>25773</v>
      </c>
      <c r="M22" s="13">
        <f>$Q$2-Table113[[#This Row],[Comp E55 Run Hr]]</f>
        <v>1157</v>
      </c>
      <c r="N22" s="29"/>
      <c r="O22" s="29"/>
      <c r="P22" s="29"/>
      <c r="Q22" s="29"/>
    </row>
    <row r="23" spans="1:17" x14ac:dyDescent="0.35">
      <c r="A23" s="4">
        <v>46195</v>
      </c>
      <c r="B23" s="5">
        <f>Table113[[#This Row],[Comp E75 -1
Run Hr]]-C22</f>
        <v>0</v>
      </c>
      <c r="C23" s="7">
        <f>'PowerHouse Data'!$Y$4</f>
        <v>3600</v>
      </c>
      <c r="D23" s="13">
        <f>$N$2-Table113[[#This Row],[Comp E75 -1
Run Hr]]</f>
        <v>1840</v>
      </c>
      <c r="E23" s="5">
        <f>Table113[[#This Row],[Comp E75 -2
Run Hr]]-F22</f>
        <v>0</v>
      </c>
      <c r="F23" s="7">
        <f>'PowerHouse Data'!$Y$5</f>
        <v>6287</v>
      </c>
      <c r="G23" s="13">
        <f>$O$2-Table113[[#This Row],[Comp E75 -2
Run Hr]]</f>
        <v>1779</v>
      </c>
      <c r="H23" s="5">
        <f>Table113[[#This Row],[Comp E75 -3
Run Hr]]-I22</f>
        <v>0</v>
      </c>
      <c r="I23" s="7">
        <f>'PowerHouse Data'!$Y$6</f>
        <v>473</v>
      </c>
      <c r="J23" s="13">
        <f>$P$2-Table113[[#This Row],[Comp E75 -3
Run Hr]]</f>
        <v>3527</v>
      </c>
      <c r="K23" s="5">
        <f>Table113[[#This Row],[Comp E55 Run Hr]]-L22</f>
        <v>24</v>
      </c>
      <c r="L23" s="7">
        <f>'PowerHouse Data'!$Y$7</f>
        <v>25797</v>
      </c>
      <c r="M23" s="13">
        <f>$Q$2-Table113[[#This Row],[Comp E55 Run Hr]]</f>
        <v>1133</v>
      </c>
      <c r="N23" s="29"/>
      <c r="O23" s="29"/>
      <c r="P23" s="29"/>
      <c r="Q23" s="29"/>
    </row>
    <row r="24" spans="1:17" x14ac:dyDescent="0.35">
      <c r="A24" s="4">
        <v>46196</v>
      </c>
      <c r="B24" s="5">
        <f>Table113[[#This Row],[Comp E75 -1
Run Hr]]-C23</f>
        <v>21</v>
      </c>
      <c r="C24" s="7">
        <f>'PowerHouse Data'!$Z$4</f>
        <v>3621</v>
      </c>
      <c r="D24" s="13">
        <f>$N$2-Table113[[#This Row],[Comp E75 -1
Run Hr]]</f>
        <v>1819</v>
      </c>
      <c r="E24" s="5">
        <f>Table113[[#This Row],[Comp E75 -2
Run Hr]]-F23</f>
        <v>24</v>
      </c>
      <c r="F24" s="7">
        <f>'PowerHouse Data'!$Z$5</f>
        <v>6311</v>
      </c>
      <c r="G24" s="13">
        <f>$O$2-Table113[[#This Row],[Comp E75 -2
Run Hr]]</f>
        <v>1755</v>
      </c>
      <c r="H24" s="5">
        <f>Table113[[#This Row],[Comp E75 -3
Run Hr]]-I23</f>
        <v>0</v>
      </c>
      <c r="I24" s="7">
        <f>'PowerHouse Data'!$Z$6</f>
        <v>473</v>
      </c>
      <c r="J24" s="13">
        <f>$P$2-Table113[[#This Row],[Comp E75 -3
Run Hr]]</f>
        <v>3527</v>
      </c>
      <c r="K24" s="5">
        <f>Table113[[#This Row],[Comp E55 Run Hr]]-L23</f>
        <v>0</v>
      </c>
      <c r="L24" s="7">
        <f>'PowerHouse Data'!$Z$7</f>
        <v>25797</v>
      </c>
      <c r="M24" s="13">
        <f>$Q$2-Table113[[#This Row],[Comp E55 Run Hr]]</f>
        <v>1133</v>
      </c>
      <c r="N24" s="29"/>
      <c r="O24" s="29"/>
      <c r="P24" s="29"/>
      <c r="Q24" s="29"/>
    </row>
    <row r="25" spans="1:17" x14ac:dyDescent="0.35">
      <c r="A25" s="4">
        <v>46197</v>
      </c>
      <c r="B25" s="5">
        <f>Table113[[#This Row],[Comp E75 -1
Run Hr]]-C24</f>
        <v>0</v>
      </c>
      <c r="C25" s="7">
        <f>'PowerHouse Data'!$AA$4</f>
        <v>3621</v>
      </c>
      <c r="D25" s="13">
        <f>$N$2-Table113[[#This Row],[Comp E75 -1
Run Hr]]</f>
        <v>1819</v>
      </c>
      <c r="E25" s="5">
        <f>Table113[[#This Row],[Comp E75 -2
Run Hr]]-F24</f>
        <v>23</v>
      </c>
      <c r="F25" s="7">
        <f>'PowerHouse Data'!$AA$5</f>
        <v>6334</v>
      </c>
      <c r="G25" s="13">
        <f>$O$2-Table113[[#This Row],[Comp E75 -2
Run Hr]]</f>
        <v>1732</v>
      </c>
      <c r="H25" s="5">
        <f>Table113[[#This Row],[Comp E75 -3
Run Hr]]-I24</f>
        <v>24</v>
      </c>
      <c r="I25" s="7">
        <f>'PowerHouse Data'!$AA$6</f>
        <v>497</v>
      </c>
      <c r="J25" s="13">
        <f>$P$2-Table113[[#This Row],[Comp E75 -3
Run Hr]]</f>
        <v>3503</v>
      </c>
      <c r="K25" s="5">
        <f>Table113[[#This Row],[Comp E55 Run Hr]]-L24</f>
        <v>0</v>
      </c>
      <c r="L25" s="7">
        <f>'PowerHouse Data'!$AA$7</f>
        <v>25797</v>
      </c>
      <c r="M25" s="13">
        <f>$Q$2-Table113[[#This Row],[Comp E55 Run Hr]]</f>
        <v>1133</v>
      </c>
      <c r="N25" s="29"/>
      <c r="O25" s="29"/>
      <c r="P25" s="29"/>
      <c r="Q25" s="29"/>
    </row>
    <row r="26" spans="1:17" x14ac:dyDescent="0.35">
      <c r="A26" s="4">
        <v>46198</v>
      </c>
      <c r="B26" s="5">
        <f>Table113[[#This Row],[Comp E75 -1
Run Hr]]-C25</f>
        <v>20</v>
      </c>
      <c r="C26" s="7">
        <f>'PowerHouse Data'!$AB$4</f>
        <v>3641</v>
      </c>
      <c r="D26" s="13">
        <f>$N$2-Table113[[#This Row],[Comp E75 -1
Run Hr]]</f>
        <v>1799</v>
      </c>
      <c r="E26" s="5">
        <f>Table113[[#This Row],[Comp E75 -2
Run Hr]]-F25</f>
        <v>0</v>
      </c>
      <c r="F26" s="7">
        <f>'PowerHouse Data'!$AB$5</f>
        <v>6334</v>
      </c>
      <c r="G26" s="13">
        <f>$O$2-Table113[[#This Row],[Comp E75 -2
Run Hr]]</f>
        <v>1732</v>
      </c>
      <c r="H26" s="5">
        <f>Table113[[#This Row],[Comp E75 -3
Run Hr]]-I25</f>
        <v>24</v>
      </c>
      <c r="I26" s="7">
        <f>'PowerHouse Data'!$AB$6</f>
        <v>521</v>
      </c>
      <c r="J26" s="13">
        <f>$P$2-Table113[[#This Row],[Comp E75 -3
Run Hr]]</f>
        <v>3479</v>
      </c>
      <c r="K26" s="5">
        <f>Table113[[#This Row],[Comp E55 Run Hr]]-L25</f>
        <v>0</v>
      </c>
      <c r="L26" s="7">
        <f>'PowerHouse Data'!$AB$7</f>
        <v>25797</v>
      </c>
      <c r="M26" s="13">
        <f>$Q$2-Table113[[#This Row],[Comp E55 Run Hr]]</f>
        <v>1133</v>
      </c>
      <c r="N26" s="29"/>
      <c r="O26" s="29"/>
      <c r="P26" s="29"/>
      <c r="Q26" s="29"/>
    </row>
    <row r="27" spans="1:17" x14ac:dyDescent="0.35">
      <c r="A27" s="4">
        <v>46199</v>
      </c>
      <c r="B27" s="5">
        <f>Table113[[#This Row],[Comp E75 -1
Run Hr]]-C26</f>
        <v>24</v>
      </c>
      <c r="C27" s="7">
        <f>'PowerHouse Data'!$AC$4</f>
        <v>3665</v>
      </c>
      <c r="D27" s="13">
        <f>$N$2-Table113[[#This Row],[Comp E75 -1
Run Hr]]</f>
        <v>1775</v>
      </c>
      <c r="E27" s="5">
        <f>Table113[[#This Row],[Comp E75 -2
Run Hr]]-F26</f>
        <v>24</v>
      </c>
      <c r="F27" s="7">
        <f>'PowerHouse Data'!$AC$5</f>
        <v>6358</v>
      </c>
      <c r="G27" s="13">
        <f>$O$2-Table113[[#This Row],[Comp E75 -2
Run Hr]]</f>
        <v>1708</v>
      </c>
      <c r="H27" s="5">
        <f>Table113[[#This Row],[Comp E75 -3
Run Hr]]-I26</f>
        <v>0</v>
      </c>
      <c r="I27" s="7">
        <f>'PowerHouse Data'!$AC$6</f>
        <v>521</v>
      </c>
      <c r="J27" s="13">
        <f>$P$2-Table113[[#This Row],[Comp E75 -3
Run Hr]]</f>
        <v>3479</v>
      </c>
      <c r="K27" s="5">
        <f>Table113[[#This Row],[Comp E55 Run Hr]]-L26</f>
        <v>0</v>
      </c>
      <c r="L27" s="7">
        <f>'PowerHouse Data'!$AC$7</f>
        <v>25797</v>
      </c>
      <c r="M27" s="13">
        <f>$Q$2-Table113[[#This Row],[Comp E55 Run Hr]]</f>
        <v>1133</v>
      </c>
      <c r="N27" s="29"/>
      <c r="O27" s="29"/>
      <c r="P27" s="29"/>
      <c r="Q27" s="29"/>
    </row>
    <row r="28" spans="1:17" x14ac:dyDescent="0.35">
      <c r="A28" s="4">
        <v>46200</v>
      </c>
      <c r="B28" s="5">
        <f>Table113[[#This Row],[Comp E75 -1
Run Hr]]-C27</f>
        <v>0</v>
      </c>
      <c r="C28" s="7">
        <f>'PowerHouse Data'!$AD$4</f>
        <v>3665</v>
      </c>
      <c r="D28" s="13">
        <f>$N$2-Table113[[#This Row],[Comp E75 -1
Run Hr]]</f>
        <v>1775</v>
      </c>
      <c r="E28" s="5">
        <f>Table113[[#This Row],[Comp E75 -2
Run Hr]]-F27</f>
        <v>24</v>
      </c>
      <c r="F28" s="7">
        <f>'PowerHouse Data'!$AD$5</f>
        <v>6382</v>
      </c>
      <c r="G28" s="13">
        <f>$O$2-Table113[[#This Row],[Comp E75 -2
Run Hr]]</f>
        <v>1684</v>
      </c>
      <c r="H28" s="5">
        <f>Table113[[#This Row],[Comp E75 -3
Run Hr]]-I27</f>
        <v>24</v>
      </c>
      <c r="I28" s="7">
        <f>'PowerHouse Data'!$AD$6</f>
        <v>545</v>
      </c>
      <c r="J28" s="13">
        <f>$P$2-Table113[[#This Row],[Comp E75 -3
Run Hr]]</f>
        <v>3455</v>
      </c>
      <c r="K28" s="5">
        <f>Table113[[#This Row],[Comp E55 Run Hr]]-L27</f>
        <v>0</v>
      </c>
      <c r="L28" s="7">
        <f>'PowerHouse Data'!$AD$7</f>
        <v>25797</v>
      </c>
      <c r="M28" s="13">
        <f>$Q$2-Table113[[#This Row],[Comp E55 Run Hr]]</f>
        <v>1133</v>
      </c>
      <c r="N28" s="29"/>
      <c r="O28" s="29"/>
      <c r="P28" s="29"/>
      <c r="Q28" s="29"/>
    </row>
    <row r="29" spans="1:17" x14ac:dyDescent="0.35">
      <c r="A29" s="4">
        <v>46201</v>
      </c>
      <c r="B29" s="5">
        <f>Table113[[#This Row],[Comp E75 -1
Run Hr]]-C28</f>
        <v>0</v>
      </c>
      <c r="C29" s="7">
        <f>'PowerHouse Data'!$AE$4</f>
        <v>3665</v>
      </c>
      <c r="D29" s="13">
        <f>$N$2-Table113[[#This Row],[Comp E75 -1
Run Hr]]</f>
        <v>1775</v>
      </c>
      <c r="E29" s="5">
        <f>Table113[[#This Row],[Comp E75 -2
Run Hr]]-F28</f>
        <v>1</v>
      </c>
      <c r="F29" s="7">
        <f>'PowerHouse Data'!$AE$5</f>
        <v>6383</v>
      </c>
      <c r="G29" s="13">
        <f>$O$2-Table113[[#This Row],[Comp E75 -2
Run Hr]]</f>
        <v>1683</v>
      </c>
      <c r="H29" s="5">
        <f>Table113[[#This Row],[Comp E75 -3
Run Hr]]-I28</f>
        <v>13</v>
      </c>
      <c r="I29" s="7">
        <f>'PowerHouse Data'!$AE$6</f>
        <v>558</v>
      </c>
      <c r="J29" s="13">
        <f>$P$2-Table113[[#This Row],[Comp E75 -3
Run Hr]]</f>
        <v>3442</v>
      </c>
      <c r="K29" s="5">
        <f>Table113[[#This Row],[Comp E55 Run Hr]]-L28</f>
        <v>10</v>
      </c>
      <c r="L29" s="7">
        <f>'PowerHouse Data'!$AE$7</f>
        <v>25807</v>
      </c>
      <c r="M29" s="13">
        <f>$Q$2-Table113[[#This Row],[Comp E55 Run Hr]]</f>
        <v>1123</v>
      </c>
      <c r="N29" s="29"/>
      <c r="O29" s="29"/>
      <c r="P29" s="29"/>
      <c r="Q29" s="29"/>
    </row>
    <row r="30" spans="1:17" x14ac:dyDescent="0.35">
      <c r="A30" s="4">
        <v>46202</v>
      </c>
      <c r="B30" s="5">
        <f>Table113[[#This Row],[Comp E75 -1
Run Hr]]-C29</f>
        <v>0</v>
      </c>
      <c r="C30" s="7">
        <f>'PowerHouse Data'!$AF$4</f>
        <v>3665</v>
      </c>
      <c r="D30" s="13">
        <f>$N$2-Table113[[#This Row],[Comp E75 -1
Run Hr]]</f>
        <v>1775</v>
      </c>
      <c r="E30" s="5">
        <f>Table113[[#This Row],[Comp E75 -2
Run Hr]]-F29</f>
        <v>0</v>
      </c>
      <c r="F30" s="7">
        <f>'PowerHouse Data'!$AF$5</f>
        <v>6383</v>
      </c>
      <c r="G30" s="13">
        <f>$O$2-Table113[[#This Row],[Comp E75 -2
Run Hr]]</f>
        <v>1683</v>
      </c>
      <c r="H30" s="5">
        <f>Table113[[#This Row],[Comp E75 -3
Run Hr]]-I29</f>
        <v>0</v>
      </c>
      <c r="I30" s="7">
        <f>'PowerHouse Data'!$AF$6</f>
        <v>558</v>
      </c>
      <c r="J30" s="13">
        <f>$P$2-Table113[[#This Row],[Comp E75 -3
Run Hr]]</f>
        <v>3442</v>
      </c>
      <c r="K30" s="5">
        <f>Table113[[#This Row],[Comp E55 Run Hr]]-L29</f>
        <v>0</v>
      </c>
      <c r="L30" s="7">
        <f>'PowerHouse Data'!$AF$7</f>
        <v>25807</v>
      </c>
      <c r="M30" s="13">
        <f>$Q$2-Table113[[#This Row],[Comp E55 Run Hr]]</f>
        <v>1123</v>
      </c>
      <c r="N30" s="29"/>
      <c r="O30" s="29"/>
      <c r="P30" s="29"/>
      <c r="Q30" s="29"/>
    </row>
    <row r="31" spans="1:17" x14ac:dyDescent="0.35">
      <c r="A31" s="4">
        <v>46203</v>
      </c>
      <c r="B31" s="5">
        <f>Table113[[#This Row],[Comp E75 -1
Run Hr]]-C30</f>
        <v>-3665</v>
      </c>
      <c r="C31" s="7">
        <f>'PowerHouse Data'!$AG$4</f>
        <v>0</v>
      </c>
      <c r="D31" s="13">
        <f>$N$2-Table113[[#This Row],[Comp E75 -1
Run Hr]]</f>
        <v>5440</v>
      </c>
      <c r="E31" s="5">
        <f>Table113[[#This Row],[Comp E75 -2
Run Hr]]-F30</f>
        <v>-6383</v>
      </c>
      <c r="F31" s="7">
        <f>'PowerHouse Data'!$AG$5</f>
        <v>0</v>
      </c>
      <c r="G31" s="13">
        <f>$O$2-Table113[[#This Row],[Comp E75 -2
Run Hr]]</f>
        <v>8066</v>
      </c>
      <c r="H31" s="5">
        <f>Table113[[#This Row],[Comp E75 -3
Run Hr]]-I30</f>
        <v>-558</v>
      </c>
      <c r="I31" s="7">
        <f>'PowerHouse Data'!$AG$6</f>
        <v>0</v>
      </c>
      <c r="J31" s="13">
        <f>$P$2-Table113[[#This Row],[Comp E75 -3
Run Hr]]</f>
        <v>4000</v>
      </c>
      <c r="K31" s="5">
        <f>Table113[[#This Row],[Comp E55 Run Hr]]-L30</f>
        <v>-25807</v>
      </c>
      <c r="L31" s="7">
        <f>'PowerHouse Data'!$AG$7</f>
        <v>0</v>
      </c>
      <c r="M31" s="13">
        <f>$Q$2-Table113[[#This Row],[Comp E55 Run Hr]]</f>
        <v>26930</v>
      </c>
      <c r="N31" s="29"/>
      <c r="O31" s="29"/>
      <c r="P31" s="29"/>
      <c r="Q31" s="29"/>
    </row>
    <row r="32" spans="1:17" x14ac:dyDescent="0.35">
      <c r="A32" s="42"/>
      <c r="B32" s="5"/>
      <c r="C32" s="7">
        <f>'PowerHouse Data'!$AH$4</f>
        <v>0</v>
      </c>
      <c r="D32" s="33">
        <f>$N$2-Table113[[#This Row],[Comp E75 -1
Run Hr]]</f>
        <v>5440</v>
      </c>
      <c r="E32" s="5"/>
      <c r="F32" s="7">
        <f>'PowerHouse Data'!$AH$5</f>
        <v>0</v>
      </c>
      <c r="G32" s="33">
        <f>$O$2-Table113[[#This Row],[Comp E75 -2
Run Hr]]</f>
        <v>8066</v>
      </c>
      <c r="H32" s="5">
        <f>Table113[[#This Row],[Comp E75 -2
Run Hr]]-I31</f>
        <v>0</v>
      </c>
      <c r="I32" s="7">
        <f>'PowerHouse Data'!$AH$6</f>
        <v>0</v>
      </c>
      <c r="J32" s="13">
        <f>$O$2-Table113[[#This Row],[Comp E75 -2
Run Hr]]</f>
        <v>8066</v>
      </c>
      <c r="K32" s="7"/>
      <c r="L32" s="7">
        <f>'PowerHouse Data'!$AH$7</f>
        <v>0</v>
      </c>
      <c r="M32" s="33">
        <f>$Q$2-Table113[[#This Row],[Comp E55 Run Hr]]</f>
        <v>26930</v>
      </c>
      <c r="N32" s="7"/>
      <c r="O32" s="7"/>
      <c r="P32" s="29"/>
      <c r="Q32" s="7"/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ignoredErrors>
    <ignoredError sqref="J2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7C3B6-06BA-4AB9-8B2E-C2B8D4F707A8}">
  <sheetPr codeName="Sheet4"/>
  <dimension ref="A1:Y681"/>
  <sheetViews>
    <sheetView topLeftCell="A26" workbookViewId="0">
      <selection activeCell="A36" sqref="A36:E41"/>
    </sheetView>
  </sheetViews>
  <sheetFormatPr defaultRowHeight="14.5" x14ac:dyDescent="0.35"/>
  <cols>
    <col min="1" max="1" width="10.08984375" bestFit="1" customWidth="1"/>
    <col min="2" max="2" width="12.6328125" hidden="1" customWidth="1"/>
    <col min="3" max="8" width="12.6328125" customWidth="1"/>
    <col min="9" max="9" width="12.90625" customWidth="1"/>
    <col min="10" max="11" width="12.6328125" customWidth="1"/>
    <col min="12" max="13" width="9.54296875" customWidth="1"/>
    <col min="14" max="15" width="12.26953125" customWidth="1"/>
    <col min="16" max="16" width="0" hidden="1" customWidth="1"/>
    <col min="18" max="18" width="10.1796875" hidden="1" customWidth="1"/>
    <col min="19" max="19" width="11.54296875" customWidth="1"/>
    <col min="20" max="20" width="15.08984375" bestFit="1" customWidth="1"/>
    <col min="22" max="23" width="8.7265625" style="23" customWidth="1"/>
  </cols>
  <sheetData>
    <row r="1" spans="1:23" ht="58.5" thickBot="1" x14ac:dyDescent="0.4">
      <c r="A1" s="1" t="s">
        <v>0</v>
      </c>
      <c r="B1" s="2" t="s">
        <v>19</v>
      </c>
      <c r="C1" s="2" t="s">
        <v>20</v>
      </c>
      <c r="D1" s="2" t="s">
        <v>21</v>
      </c>
      <c r="E1" s="2" t="s">
        <v>58</v>
      </c>
      <c r="F1" s="2" t="s">
        <v>62</v>
      </c>
      <c r="G1" s="2" t="s">
        <v>61</v>
      </c>
      <c r="H1" s="2" t="s">
        <v>60</v>
      </c>
      <c r="I1" s="2" t="s">
        <v>63</v>
      </c>
      <c r="J1" s="2" t="s">
        <v>64</v>
      </c>
      <c r="K1" s="2" t="s">
        <v>22</v>
      </c>
      <c r="L1" s="2" t="s">
        <v>23</v>
      </c>
      <c r="M1" s="2" t="s">
        <v>45</v>
      </c>
      <c r="N1" s="2" t="s">
        <v>24</v>
      </c>
      <c r="O1" s="2" t="s">
        <v>44</v>
      </c>
      <c r="P1" s="16" t="s">
        <v>25</v>
      </c>
      <c r="Q1" s="2" t="s">
        <v>10</v>
      </c>
      <c r="R1" s="16" t="s">
        <v>26</v>
      </c>
      <c r="S1" s="16" t="s">
        <v>11</v>
      </c>
      <c r="T1" s="2" t="s">
        <v>27</v>
      </c>
      <c r="V1" s="2" t="s">
        <v>28</v>
      </c>
      <c r="W1" s="2" t="s">
        <v>29</v>
      </c>
    </row>
    <row r="2" spans="1:23" ht="18" customHeight="1" thickBot="1" x14ac:dyDescent="0.4">
      <c r="A2" s="17">
        <v>46174</v>
      </c>
      <c r="B2" s="18">
        <v>0.29166666666666669</v>
      </c>
      <c r="C2" s="5">
        <f>'PowerHouse Data'!C2</f>
        <v>2328</v>
      </c>
      <c r="D2" s="7">
        <f>'PowerHouse Data'!$D$2</f>
        <v>2112</v>
      </c>
      <c r="E2" s="7">
        <f>'PowerHouse Data'!$D$11</f>
        <v>0</v>
      </c>
      <c r="F2" s="5">
        <f>VLOOKUP(C2,$V$2:$W$681,2,FALSE)</f>
        <v>41821</v>
      </c>
      <c r="G2" s="5">
        <f>'PowerHouse Data'!$D$10</f>
        <v>0</v>
      </c>
      <c r="H2" s="5">
        <f t="shared" ref="H2:H31" si="0">VLOOKUP(E2,$V$2:$W$681,2,FALSE)</f>
        <v>0</v>
      </c>
      <c r="I2" s="5">
        <f>Table113456[[#This Row],[Opening Stock (Liters)]]-Table113456[[#This Row],[Closing Stock (Liters)]]+Table113456[[#This Row],[Received (Liters)]]</f>
        <v>3596</v>
      </c>
      <c r="J2" s="5">
        <f t="shared" ref="J2:J32" si="1">VLOOKUP(D2,$V$2:$W$681,2,FALSE)</f>
        <v>38225</v>
      </c>
      <c r="K2" s="5">
        <v>5184</v>
      </c>
      <c r="L2" s="13">
        <f>'PowerHouse Data'!D8-'PowerHouse Data'!C8</f>
        <v>12</v>
      </c>
      <c r="M2" s="7">
        <f>'PowerHouse Data'!$D$8</f>
        <v>5600.4</v>
      </c>
      <c r="N2" s="13">
        <f>'PowerHouse Data'!D9-'PowerHouse Data'!C9</f>
        <v>12</v>
      </c>
      <c r="O2" s="7">
        <f>'PowerHouse Data'!$D$9</f>
        <v>12436.2</v>
      </c>
      <c r="P2" s="19">
        <v>5824</v>
      </c>
      <c r="Q2" s="19">
        <f>Table113456[[#This Row],[Milling DG
Next Ser
Hours]]-Table113456[[#This Row],[DG Milling Run Hr Meter]]</f>
        <v>223.60000000000036</v>
      </c>
      <c r="R2" s="19">
        <v>12643.5</v>
      </c>
      <c r="S2" s="19">
        <f>Table113456[[#This Row],[Parboiling DG
Next Ser
Hours]]-Table113456[[#This Row],[DG Parboiling 
Run Hr Meter]]</f>
        <v>207.29999999999927</v>
      </c>
      <c r="T2" s="5"/>
      <c r="V2" s="20">
        <v>0</v>
      </c>
      <c r="W2" s="20">
        <v>0</v>
      </c>
    </row>
    <row r="3" spans="1:23" ht="18" customHeight="1" thickBot="1" x14ac:dyDescent="0.4">
      <c r="A3" s="17">
        <v>46175</v>
      </c>
      <c r="B3" s="18">
        <v>0.29166666666666669</v>
      </c>
      <c r="C3" s="5">
        <f>D2</f>
        <v>2112</v>
      </c>
      <c r="D3" s="7">
        <f>'PowerHouse Data'!$E$2</f>
        <v>2092</v>
      </c>
      <c r="E3" s="7">
        <f>'PowerHouse Data'!$E$11</f>
        <v>0</v>
      </c>
      <c r="F3" s="5">
        <f>J2</f>
        <v>38225</v>
      </c>
      <c r="G3" s="5">
        <f>'PowerHouse Data'!$E$10</f>
        <v>0</v>
      </c>
      <c r="H3" s="5">
        <f t="shared" si="0"/>
        <v>0</v>
      </c>
      <c r="I3" s="5">
        <f>Table113456[[#This Row],[Opening Stock (Liters)]]-Table113456[[#This Row],[Closing Stock (Liters)]]+Table113456[[#This Row],[Received (Liters)]]</f>
        <v>361</v>
      </c>
      <c r="J3" s="5">
        <f t="shared" si="1"/>
        <v>37864</v>
      </c>
      <c r="K3" s="5">
        <v>5184</v>
      </c>
      <c r="L3" s="13">
        <f>Table113456[[#This Row],[DG Milling Run Hr Meter]]-M2</f>
        <v>1.7000000000007276</v>
      </c>
      <c r="M3" s="7">
        <f>'PowerHouse Data'!$E$8</f>
        <v>5602.1</v>
      </c>
      <c r="N3" s="13">
        <f>Table113456[[#This Row],[DG Parboiling 
Run Hr Meter]]-O2</f>
        <v>1.6999999999989086</v>
      </c>
      <c r="O3" s="7">
        <f>'PowerHouse Data'!$E$9</f>
        <v>12437.9</v>
      </c>
      <c r="P3" s="13">
        <v>5824</v>
      </c>
      <c r="Q3" s="13">
        <f>Table113456[[#This Row],[Milling DG
Next Ser
Hours]]-Table113456[[#This Row],[DG Milling Run Hr Meter]]</f>
        <v>221.89999999999964</v>
      </c>
      <c r="R3" s="13">
        <v>12643.5</v>
      </c>
      <c r="S3" s="13">
        <f>Table113456[[#This Row],[Parboiling DG
Next Ser
Hours]]-Table113456[[#This Row],[DG Parboiling 
Run Hr Meter]]</f>
        <v>205.60000000000036</v>
      </c>
      <c r="T3" s="21"/>
      <c r="V3" s="20">
        <v>4</v>
      </c>
      <c r="W3" s="20">
        <v>4</v>
      </c>
    </row>
    <row r="4" spans="1:23" ht="18" customHeight="1" thickBot="1" x14ac:dyDescent="0.4">
      <c r="A4" s="17">
        <v>46176</v>
      </c>
      <c r="B4" s="18">
        <v>0.29166666666666669</v>
      </c>
      <c r="C4" s="5">
        <f t="shared" ref="C4:C31" si="2">D3</f>
        <v>2092</v>
      </c>
      <c r="D4" s="7">
        <f>'PowerHouse Data'!$F$2</f>
        <v>2080</v>
      </c>
      <c r="E4" s="7">
        <f>'PowerHouse Data'!$F$11</f>
        <v>0</v>
      </c>
      <c r="F4" s="5">
        <f t="shared" ref="F4:F31" si="3">J3</f>
        <v>37864</v>
      </c>
      <c r="G4" s="5">
        <f>'PowerHouse Data'!$F$10</f>
        <v>0</v>
      </c>
      <c r="H4" s="5">
        <f t="shared" si="0"/>
        <v>0</v>
      </c>
      <c r="I4" s="5">
        <f>Table113456[[#This Row],[Opening Stock (Liters)]]-Table113456[[#This Row],[Closing Stock (Liters)]]+Table113456[[#This Row],[Received (Liters)]]</f>
        <v>218</v>
      </c>
      <c r="J4" s="5">
        <f t="shared" si="1"/>
        <v>37646</v>
      </c>
      <c r="K4" s="5">
        <v>5184</v>
      </c>
      <c r="L4" s="13">
        <f>Table113456[[#This Row],[DG Milling Run Hr Meter]]-M3</f>
        <v>1</v>
      </c>
      <c r="M4" s="7">
        <f>'PowerHouse Data'!$F$8</f>
        <v>5603.1</v>
      </c>
      <c r="N4" s="13">
        <f>Table113456[[#This Row],[DG Parboiling 
Run Hr Meter]]-O3</f>
        <v>1</v>
      </c>
      <c r="O4" s="7">
        <f>'PowerHouse Data'!$F$9</f>
        <v>12438.9</v>
      </c>
      <c r="P4" s="19">
        <v>5824</v>
      </c>
      <c r="Q4" s="19">
        <f>Table113456[[#This Row],[Milling DG
Next Ser
Hours]]-Table113456[[#This Row],[DG Milling Run Hr Meter]]</f>
        <v>220.89999999999964</v>
      </c>
      <c r="R4" s="19">
        <v>12643.5</v>
      </c>
      <c r="S4" s="14">
        <f>Table113456[[#This Row],[Parboiling DG
Next Ser
Hours]]-Table113456[[#This Row],[DG Parboiling 
Run Hr Meter]]</f>
        <v>204.60000000000036</v>
      </c>
      <c r="T4" s="21"/>
      <c r="V4" s="20">
        <v>8</v>
      </c>
      <c r="W4" s="20">
        <v>12</v>
      </c>
    </row>
    <row r="5" spans="1:23" ht="18" customHeight="1" thickBot="1" x14ac:dyDescent="0.4">
      <c r="A5" s="17">
        <v>46177</v>
      </c>
      <c r="B5" s="18">
        <v>0.29166666666666669</v>
      </c>
      <c r="C5" s="5">
        <f t="shared" si="2"/>
        <v>2080</v>
      </c>
      <c r="D5" s="7">
        <f>'PowerHouse Data'!$G$2</f>
        <v>2080</v>
      </c>
      <c r="E5" s="7">
        <f>'PowerHouse Data'!$G$11</f>
        <v>0</v>
      </c>
      <c r="F5" s="5">
        <f t="shared" si="3"/>
        <v>37646</v>
      </c>
      <c r="G5" s="5">
        <f>'PowerHouse Data'!$G$10</f>
        <v>0</v>
      </c>
      <c r="H5" s="5">
        <f t="shared" si="0"/>
        <v>0</v>
      </c>
      <c r="I5" s="5">
        <f>Table113456[[#This Row],[Opening Stock (Liters)]]-Table113456[[#This Row],[Closing Stock (Liters)]]+Table113456[[#This Row],[Received (Liters)]]</f>
        <v>0</v>
      </c>
      <c r="J5" s="5">
        <f t="shared" si="1"/>
        <v>37646</v>
      </c>
      <c r="K5" s="5">
        <v>5184</v>
      </c>
      <c r="L5" s="13">
        <f>Table113456[[#This Row],[DG Milling Run Hr Meter]]-M4</f>
        <v>0</v>
      </c>
      <c r="M5" s="7">
        <f>'PowerHouse Data'!$G$8</f>
        <v>5603.1</v>
      </c>
      <c r="N5" s="13">
        <f>Table113456[[#This Row],[DG Parboiling 
Run Hr Meter]]-O4</f>
        <v>0</v>
      </c>
      <c r="O5" s="7">
        <f>'PowerHouse Data'!$G$9</f>
        <v>12438.9</v>
      </c>
      <c r="P5" s="13">
        <v>5824</v>
      </c>
      <c r="Q5" s="13">
        <f>Table113456[[#This Row],[Milling DG
Next Ser
Hours]]-Table113456[[#This Row],[DG Milling Run Hr Meter]]</f>
        <v>220.89999999999964</v>
      </c>
      <c r="R5" s="13">
        <v>12643.5</v>
      </c>
      <c r="S5" s="13">
        <f>Table113456[[#This Row],[Parboiling DG
Next Ser
Hours]]-Table113456[[#This Row],[DG Parboiling 
Run Hr Meter]]</f>
        <v>204.60000000000036</v>
      </c>
      <c r="T5" s="21"/>
      <c r="V5" s="20">
        <v>12</v>
      </c>
      <c r="W5" s="20">
        <v>22</v>
      </c>
    </row>
    <row r="6" spans="1:23" ht="18" customHeight="1" thickBot="1" x14ac:dyDescent="0.4">
      <c r="A6" s="17">
        <v>46179</v>
      </c>
      <c r="B6" s="18">
        <v>0.29166666666666669</v>
      </c>
      <c r="C6" s="5">
        <f t="shared" si="2"/>
        <v>2080</v>
      </c>
      <c r="D6" s="7">
        <f>'PowerHouse Data'!$H$2</f>
        <v>2080</v>
      </c>
      <c r="E6" s="7">
        <f>'PowerHouse Data'!$H$11</f>
        <v>0</v>
      </c>
      <c r="F6" s="5">
        <f t="shared" si="3"/>
        <v>37646</v>
      </c>
      <c r="G6" s="5">
        <f>'PowerHouse Data'!$H$10</f>
        <v>0</v>
      </c>
      <c r="H6" s="5">
        <f t="shared" si="0"/>
        <v>0</v>
      </c>
      <c r="I6" s="5">
        <f>Table113456[[#This Row],[Opening Stock (Liters)]]-Table113456[[#This Row],[Closing Stock (Liters)]]+Table113456[[#This Row],[Received (Liters)]]</f>
        <v>0</v>
      </c>
      <c r="J6" s="5">
        <f t="shared" si="1"/>
        <v>37646</v>
      </c>
      <c r="K6" s="5">
        <v>5184</v>
      </c>
      <c r="L6" s="13">
        <f>Table113456[[#This Row],[DG Milling Run Hr Meter]]-M5</f>
        <v>0</v>
      </c>
      <c r="M6" s="7">
        <f>'PowerHouse Data'!$H$8</f>
        <v>5603.1</v>
      </c>
      <c r="N6" s="13">
        <f>Table113456[[#This Row],[DG Parboiling 
Run Hr Meter]]-O5</f>
        <v>0</v>
      </c>
      <c r="O6" s="7">
        <f>'PowerHouse Data'!$H$9</f>
        <v>12438.9</v>
      </c>
      <c r="P6" s="19">
        <v>5824</v>
      </c>
      <c r="Q6" s="19">
        <f>Table113456[[#This Row],[Milling DG
Next Ser
Hours]]-Table113456[[#This Row],[DG Milling Run Hr Meter]]</f>
        <v>220.89999999999964</v>
      </c>
      <c r="R6" s="19">
        <v>12643.5</v>
      </c>
      <c r="S6" s="14">
        <f>Table113456[[#This Row],[Parboiling DG
Next Ser
Hours]]-Table113456[[#This Row],[DG Parboiling 
Run Hr Meter]]</f>
        <v>204.60000000000036</v>
      </c>
      <c r="T6" s="21"/>
      <c r="V6" s="20">
        <v>16</v>
      </c>
      <c r="W6" s="20">
        <v>34</v>
      </c>
    </row>
    <row r="7" spans="1:23" ht="18" customHeight="1" thickBot="1" x14ac:dyDescent="0.4">
      <c r="A7" s="17">
        <v>46179</v>
      </c>
      <c r="B7" s="18">
        <v>0.29166666666666669</v>
      </c>
      <c r="C7" s="5">
        <f t="shared" si="2"/>
        <v>2080</v>
      </c>
      <c r="D7" s="7">
        <f>'PowerHouse Data'!$I$2</f>
        <v>2040</v>
      </c>
      <c r="E7" s="7">
        <f>'PowerHouse Data'!$I$11</f>
        <v>0</v>
      </c>
      <c r="F7" s="5">
        <f t="shared" si="3"/>
        <v>37646</v>
      </c>
      <c r="G7" s="5">
        <f>'PowerHouse Data'!$I$10</f>
        <v>0</v>
      </c>
      <c r="H7" s="5">
        <f t="shared" si="0"/>
        <v>0</v>
      </c>
      <c r="I7" s="5">
        <f>Table113456[[#This Row],[Opening Stock (Liters)]]-Table113456[[#This Row],[Closing Stock (Liters)]]+Table113456[[#This Row],[Received (Liters)]]</f>
        <v>739</v>
      </c>
      <c r="J7" s="5">
        <f t="shared" si="1"/>
        <v>36907</v>
      </c>
      <c r="K7" s="5">
        <v>5184</v>
      </c>
      <c r="L7" s="13">
        <f>Table113456[[#This Row],[DG Milling Run Hr Meter]]-M6</f>
        <v>2</v>
      </c>
      <c r="M7" s="7">
        <f>'PowerHouse Data'!$I$8</f>
        <v>5605.1</v>
      </c>
      <c r="N7" s="13">
        <f>Table113456[[#This Row],[DG Parboiling 
Run Hr Meter]]-O6</f>
        <v>2</v>
      </c>
      <c r="O7" s="7">
        <f>'PowerHouse Data'!$I$9</f>
        <v>12440.9</v>
      </c>
      <c r="P7" s="13">
        <v>5824</v>
      </c>
      <c r="Q7" s="13">
        <f>Table113456[[#This Row],[Milling DG
Next Ser
Hours]]-Table113456[[#This Row],[DG Milling Run Hr Meter]]</f>
        <v>218.89999999999964</v>
      </c>
      <c r="R7" s="13">
        <v>12643.5</v>
      </c>
      <c r="S7" s="13">
        <f>Table113456[[#This Row],[Parboiling DG
Next Ser
Hours]]-Table113456[[#This Row],[DG Parboiling 
Run Hr Meter]]</f>
        <v>202.60000000000036</v>
      </c>
      <c r="T7" s="5"/>
      <c r="V7" s="20">
        <v>20</v>
      </c>
      <c r="W7" s="20">
        <v>48</v>
      </c>
    </row>
    <row r="8" spans="1:23" ht="18" customHeight="1" thickBot="1" x14ac:dyDescent="0.4">
      <c r="A8" s="17">
        <v>46180</v>
      </c>
      <c r="B8" s="18">
        <v>0.29166666666666669</v>
      </c>
      <c r="C8" s="5">
        <f t="shared" si="2"/>
        <v>2040</v>
      </c>
      <c r="D8" s="7">
        <f>'PowerHouse Data'!$J$2</f>
        <v>1976</v>
      </c>
      <c r="E8" s="7">
        <f>'PowerHouse Data'!$J$11</f>
        <v>0</v>
      </c>
      <c r="F8" s="5">
        <f t="shared" si="3"/>
        <v>36907</v>
      </c>
      <c r="G8" s="5">
        <f>'PowerHouse Data'!$J$10</f>
        <v>0</v>
      </c>
      <c r="H8" s="5">
        <f t="shared" si="0"/>
        <v>0</v>
      </c>
      <c r="I8" s="5">
        <f>Table113456[[#This Row],[Opening Stock (Liters)]]-Table113456[[#This Row],[Closing Stock (Liters)]]+Table113456[[#This Row],[Received (Liters)]]</f>
        <v>1211</v>
      </c>
      <c r="J8" s="5">
        <f t="shared" si="1"/>
        <v>35696</v>
      </c>
      <c r="K8" s="5">
        <v>5184</v>
      </c>
      <c r="L8" s="13">
        <f>Table113456[[#This Row],[DG Milling Run Hr Meter]]-M7</f>
        <v>3.5</v>
      </c>
      <c r="M8" s="7">
        <f>'PowerHouse Data'!$J$8</f>
        <v>5608.6</v>
      </c>
      <c r="N8" s="13">
        <f>Table113456[[#This Row],[DG Parboiling 
Run Hr Meter]]-O7</f>
        <v>3.5</v>
      </c>
      <c r="O8" s="7">
        <f>'PowerHouse Data'!$J$9</f>
        <v>12444.4</v>
      </c>
      <c r="P8" s="19">
        <v>5824</v>
      </c>
      <c r="Q8" s="19">
        <f>Table113456[[#This Row],[Milling DG
Next Ser
Hours]]-Table113456[[#This Row],[DG Milling Run Hr Meter]]</f>
        <v>215.39999999999964</v>
      </c>
      <c r="R8" s="19">
        <v>12643.5</v>
      </c>
      <c r="S8" s="14">
        <f>Table113456[[#This Row],[Parboiling DG
Next Ser
Hours]]-Table113456[[#This Row],[DG Parboiling 
Run Hr Meter]]</f>
        <v>199.10000000000036</v>
      </c>
      <c r="T8" s="21"/>
      <c r="V8" s="20">
        <v>24</v>
      </c>
      <c r="W8" s="20">
        <v>63</v>
      </c>
    </row>
    <row r="9" spans="1:23" ht="18" customHeight="1" thickBot="1" x14ac:dyDescent="0.4">
      <c r="A9" s="17">
        <v>46181</v>
      </c>
      <c r="B9" s="18">
        <v>0.29166666666666669</v>
      </c>
      <c r="C9" s="5">
        <f t="shared" si="2"/>
        <v>1976</v>
      </c>
      <c r="D9" s="7">
        <f>'PowerHouse Data'!$K$2</f>
        <v>1948</v>
      </c>
      <c r="E9" s="7">
        <f>'PowerHouse Data'!$K$11</f>
        <v>0</v>
      </c>
      <c r="F9" s="5">
        <f t="shared" si="3"/>
        <v>35696</v>
      </c>
      <c r="G9" s="5">
        <f>'PowerHouse Data'!$IO$10</f>
        <v>0</v>
      </c>
      <c r="H9" s="5">
        <f t="shared" si="0"/>
        <v>0</v>
      </c>
      <c r="I9" s="5">
        <f>Table113456[[#This Row],[Opening Stock (Liters)]]-Table113456[[#This Row],[Closing Stock (Liters)]]+Table113456[[#This Row],[Received (Liters)]]</f>
        <v>541</v>
      </c>
      <c r="J9" s="5">
        <f t="shared" si="1"/>
        <v>35155</v>
      </c>
      <c r="K9" s="5">
        <v>5184</v>
      </c>
      <c r="L9" s="13">
        <f>Table113456[[#This Row],[DG Milling Run Hr Meter]]-M8</f>
        <v>0</v>
      </c>
      <c r="M9" s="7">
        <f>'PowerHouse Data'!$K$8</f>
        <v>5608.6</v>
      </c>
      <c r="N9" s="13">
        <f>Table113456[[#This Row],[DG Parboiling 
Run Hr Meter]]-O8</f>
        <v>5.3999999999996362</v>
      </c>
      <c r="O9" s="7">
        <f>'PowerHouse Data'!$K$9</f>
        <v>12449.8</v>
      </c>
      <c r="P9" s="13">
        <v>5824</v>
      </c>
      <c r="Q9" s="13">
        <f>Table113456[[#This Row],[Milling DG
Next Ser
Hours]]-Table113456[[#This Row],[DG Milling Run Hr Meter]]</f>
        <v>215.39999999999964</v>
      </c>
      <c r="R9" s="13">
        <v>12643.5</v>
      </c>
      <c r="S9" s="13">
        <f>Table113456[[#This Row],[Parboiling DG
Next Ser
Hours]]-Table113456[[#This Row],[DG Parboiling 
Run Hr Meter]]</f>
        <v>193.70000000000073</v>
      </c>
      <c r="T9" s="5"/>
      <c r="V9" s="20">
        <v>28</v>
      </c>
      <c r="W9" s="20">
        <v>80</v>
      </c>
    </row>
    <row r="10" spans="1:23" ht="18" customHeight="1" thickBot="1" x14ac:dyDescent="0.4">
      <c r="A10" s="17">
        <v>46182</v>
      </c>
      <c r="B10" s="18">
        <v>0.29166666666666669</v>
      </c>
      <c r="C10" s="5">
        <f t="shared" si="2"/>
        <v>1948</v>
      </c>
      <c r="D10" s="7">
        <f>'PowerHouse Data'!$L$2</f>
        <v>1928</v>
      </c>
      <c r="E10" s="7">
        <f>'PowerHouse Data'!$L$11</f>
        <v>0</v>
      </c>
      <c r="F10" s="5">
        <f t="shared" si="3"/>
        <v>35155</v>
      </c>
      <c r="G10" s="5">
        <f>'PowerHouse Data'!$JO$10</f>
        <v>0</v>
      </c>
      <c r="H10" s="5">
        <f t="shared" si="0"/>
        <v>0</v>
      </c>
      <c r="I10" s="5">
        <f>Table113456[[#This Row],[Opening Stock (Liters)]]-Table113456[[#This Row],[Closing Stock (Liters)]]+Table113456[[#This Row],[Received (Liters)]]</f>
        <v>389</v>
      </c>
      <c r="J10" s="5">
        <f t="shared" si="1"/>
        <v>34766</v>
      </c>
      <c r="K10" s="5">
        <v>5184</v>
      </c>
      <c r="L10" s="13">
        <f>Table113456[[#This Row],[DG Milling Run Hr Meter]]-M9</f>
        <v>1.5999999999994543</v>
      </c>
      <c r="M10" s="7">
        <f>'PowerHouse Data'!$L$8</f>
        <v>5610.2</v>
      </c>
      <c r="N10" s="13">
        <f>Table113456[[#This Row],[DG Parboiling 
Run Hr Meter]]-O9</f>
        <v>1.6000000000003638</v>
      </c>
      <c r="O10" s="7">
        <f>'PowerHouse Data'!$L$9</f>
        <v>12451.4</v>
      </c>
      <c r="P10" s="19">
        <v>5824</v>
      </c>
      <c r="Q10" s="19">
        <f>Table113456[[#This Row],[Milling DG
Next Ser
Hours]]-Table113456[[#This Row],[DG Milling Run Hr Meter]]</f>
        <v>213.80000000000018</v>
      </c>
      <c r="R10" s="19">
        <v>12643.5</v>
      </c>
      <c r="S10" s="14">
        <f>Table113456[[#This Row],[Parboiling DG
Next Ser
Hours]]-Table113456[[#This Row],[DG Parboiling 
Run Hr Meter]]</f>
        <v>192.10000000000036</v>
      </c>
      <c r="T10" s="5"/>
      <c r="V10" s="20">
        <v>32</v>
      </c>
      <c r="W10" s="20">
        <v>98</v>
      </c>
    </row>
    <row r="11" spans="1:23" ht="18" customHeight="1" thickBot="1" x14ac:dyDescent="0.4">
      <c r="A11" s="17">
        <v>46183</v>
      </c>
      <c r="B11" s="18">
        <v>0.29166666666666669</v>
      </c>
      <c r="C11" s="5">
        <f t="shared" si="2"/>
        <v>1928</v>
      </c>
      <c r="D11" s="7">
        <f>'PowerHouse Data'!$M$2</f>
        <v>1928</v>
      </c>
      <c r="E11" s="7">
        <f>'PowerHouse Data'!$M$11</f>
        <v>0</v>
      </c>
      <c r="F11" s="5">
        <f t="shared" si="3"/>
        <v>34766</v>
      </c>
      <c r="G11" s="5">
        <f>'PowerHouse Data'!$M$10</f>
        <v>0</v>
      </c>
      <c r="H11" s="5">
        <f t="shared" si="0"/>
        <v>0</v>
      </c>
      <c r="I11" s="5">
        <f>Table113456[[#This Row],[Opening Stock (Liters)]]-Table113456[[#This Row],[Closing Stock (Liters)]]+Table113456[[#This Row],[Received (Liters)]]</f>
        <v>0</v>
      </c>
      <c r="J11" s="5">
        <f t="shared" si="1"/>
        <v>34766</v>
      </c>
      <c r="K11" s="5">
        <v>5184</v>
      </c>
      <c r="L11" s="13">
        <f>Table113456[[#This Row],[DG Milling Run Hr Meter]]-M10</f>
        <v>0</v>
      </c>
      <c r="M11" s="7">
        <f>'PowerHouse Data'!$M$8</f>
        <v>5610.2</v>
      </c>
      <c r="N11" s="13">
        <f>Table113456[[#This Row],[DG Parboiling 
Run Hr Meter]]-O10</f>
        <v>0</v>
      </c>
      <c r="O11" s="7">
        <f>'PowerHouse Data'!$M$9</f>
        <v>12451.4</v>
      </c>
      <c r="P11" s="13">
        <v>5824</v>
      </c>
      <c r="Q11" s="13">
        <f>Table113456[[#This Row],[Milling DG
Next Ser
Hours]]-Table113456[[#This Row],[DG Milling Run Hr Meter]]</f>
        <v>213.80000000000018</v>
      </c>
      <c r="R11" s="13">
        <v>12643.5</v>
      </c>
      <c r="S11" s="13">
        <f>Table113456[[#This Row],[Parboiling DG
Next Ser
Hours]]-Table113456[[#This Row],[DG Parboiling 
Run Hr Meter]]</f>
        <v>192.10000000000036</v>
      </c>
      <c r="T11" s="5"/>
      <c r="V11" s="20">
        <v>36</v>
      </c>
      <c r="W11" s="20">
        <v>116</v>
      </c>
    </row>
    <row r="12" spans="1:23" ht="18" customHeight="1" thickBot="1" x14ac:dyDescent="0.4">
      <c r="A12" s="17">
        <v>46184</v>
      </c>
      <c r="B12" s="18">
        <v>0.29166666666666669</v>
      </c>
      <c r="C12" s="5">
        <f t="shared" si="2"/>
        <v>1928</v>
      </c>
      <c r="D12" s="7">
        <f>'PowerHouse Data'!$N$2</f>
        <v>1852</v>
      </c>
      <c r="E12" s="7">
        <f>'PowerHouse Data'!$N$11</f>
        <v>0</v>
      </c>
      <c r="F12" s="5">
        <f t="shared" si="3"/>
        <v>34766</v>
      </c>
      <c r="G12" s="5">
        <f>'PowerHouse Data'!$N$10</f>
        <v>0</v>
      </c>
      <c r="H12" s="5">
        <f t="shared" si="0"/>
        <v>0</v>
      </c>
      <c r="I12" s="5">
        <f>Table113456[[#This Row],[Opening Stock (Liters)]]-Table113456[[#This Row],[Closing Stock (Liters)]]+Table113456[[#This Row],[Received (Liters)]]</f>
        <v>1506</v>
      </c>
      <c r="J12" s="5">
        <f t="shared" si="1"/>
        <v>33260</v>
      </c>
      <c r="K12" s="5">
        <v>5184</v>
      </c>
      <c r="L12" s="13">
        <f>Table113456[[#This Row],[DG Milling Run Hr Meter]]-M11</f>
        <v>0</v>
      </c>
      <c r="M12" s="7">
        <f>'PowerHouse Data'!$N$8</f>
        <v>5610.2</v>
      </c>
      <c r="N12" s="13">
        <f>Table113456[[#This Row],[DG Parboiling 
Run Hr Meter]]-O11</f>
        <v>11.399999999999636</v>
      </c>
      <c r="O12" s="7">
        <f>'PowerHouse Data'!$N$9</f>
        <v>12462.8</v>
      </c>
      <c r="P12" s="19">
        <v>5824</v>
      </c>
      <c r="Q12" s="19">
        <f>Table113456[[#This Row],[Milling DG
Next Ser
Hours]]-Table113456[[#This Row],[DG Milling Run Hr Meter]]</f>
        <v>213.80000000000018</v>
      </c>
      <c r="R12" s="19">
        <v>12643.5</v>
      </c>
      <c r="S12" s="14">
        <f>Table113456[[#This Row],[Parboiling DG
Next Ser
Hours]]-Table113456[[#This Row],[DG Parboiling 
Run Hr Meter]]</f>
        <v>180.70000000000073</v>
      </c>
      <c r="T12" s="21"/>
      <c r="V12" s="20">
        <v>40</v>
      </c>
      <c r="W12" s="20">
        <v>136</v>
      </c>
    </row>
    <row r="13" spans="1:23" ht="18" customHeight="1" thickBot="1" x14ac:dyDescent="0.4">
      <c r="A13" s="17">
        <v>46185</v>
      </c>
      <c r="B13" s="18">
        <v>0.29166666666666669</v>
      </c>
      <c r="C13" s="5">
        <f t="shared" si="2"/>
        <v>1852</v>
      </c>
      <c r="D13" s="7">
        <f>'PowerHouse Data'!$O$2</f>
        <v>1836</v>
      </c>
      <c r="E13" s="7">
        <f>'PowerHouse Data'!$O$11</f>
        <v>0</v>
      </c>
      <c r="F13" s="5">
        <f t="shared" si="3"/>
        <v>33260</v>
      </c>
      <c r="G13" s="5">
        <f>'PowerHouse Data'!$O$10</f>
        <v>0</v>
      </c>
      <c r="H13" s="5">
        <f t="shared" si="0"/>
        <v>0</v>
      </c>
      <c r="I13" s="5">
        <f>Table113456[[#This Row],[Opening Stock (Liters)]]-Table113456[[#This Row],[Closing Stock (Liters)]]+Table113456[[#This Row],[Received (Liters)]]</f>
        <v>322</v>
      </c>
      <c r="J13" s="5">
        <f t="shared" si="1"/>
        <v>32938</v>
      </c>
      <c r="K13" s="5">
        <v>5184</v>
      </c>
      <c r="L13" s="13">
        <f>Table113456[[#This Row],[DG Milling Run Hr Meter]]-M12</f>
        <v>0</v>
      </c>
      <c r="M13" s="7">
        <f>'PowerHouse Data'!$O$8</f>
        <v>5610.2</v>
      </c>
      <c r="N13" s="13">
        <f>Table113456[[#This Row],[DG Parboiling 
Run Hr Meter]]-O12</f>
        <v>4</v>
      </c>
      <c r="O13" s="7">
        <f>'PowerHouse Data'!$O$9</f>
        <v>12466.8</v>
      </c>
      <c r="P13" s="13">
        <v>5824</v>
      </c>
      <c r="Q13" s="13">
        <f>Table113456[[#This Row],[Milling DG
Next Ser
Hours]]-Table113456[[#This Row],[DG Milling Run Hr Meter]]</f>
        <v>213.80000000000018</v>
      </c>
      <c r="R13" s="13">
        <v>12643.5</v>
      </c>
      <c r="S13" s="13">
        <f>Table113456[[#This Row],[Parboiling DG
Next Ser
Hours]]-Table113456[[#This Row],[DG Parboiling 
Run Hr Meter]]</f>
        <v>176.70000000000073</v>
      </c>
      <c r="T13" s="21"/>
      <c r="V13" s="20">
        <v>44</v>
      </c>
      <c r="W13" s="20">
        <v>157</v>
      </c>
    </row>
    <row r="14" spans="1:23" ht="18" customHeight="1" thickBot="1" x14ac:dyDescent="0.4">
      <c r="A14" s="17">
        <v>46186</v>
      </c>
      <c r="B14" s="18">
        <v>0.29166666666666669</v>
      </c>
      <c r="C14" s="5">
        <f t="shared" si="2"/>
        <v>1836</v>
      </c>
      <c r="D14" s="7">
        <f>'PowerHouse Data'!$P$2</f>
        <v>2536</v>
      </c>
      <c r="E14" s="7">
        <f>'PowerHouse Data'!$P$11</f>
        <v>2584</v>
      </c>
      <c r="F14" s="5">
        <f t="shared" si="3"/>
        <v>32938</v>
      </c>
      <c r="G14" s="5">
        <f>'PowerHouse Data'!$P$10</f>
        <v>11500</v>
      </c>
      <c r="H14" s="5">
        <f t="shared" si="0"/>
        <v>45065</v>
      </c>
      <c r="I14" s="5">
        <f>Table113456[[#This Row],[Opening Stock (Liters)]]-Table113456[[#This Row],[Closing Stock (Liters)]]+Table113456[[#This Row],[Received (Liters)]]+627</f>
        <v>493</v>
      </c>
      <c r="J14" s="5">
        <f t="shared" si="1"/>
        <v>44572</v>
      </c>
      <c r="K14" s="5">
        <v>5184</v>
      </c>
      <c r="L14" s="13">
        <f>Table113456[[#This Row],[DG Milling Run Hr Meter]]-M13</f>
        <v>1.1000000000003638</v>
      </c>
      <c r="M14" s="7">
        <f>'PowerHouse Data'!$P$8</f>
        <v>5611.3</v>
      </c>
      <c r="N14" s="13">
        <f>Table113456[[#This Row],[DG Parboiling 
Run Hr Meter]]-O13</f>
        <v>1.1000000000003638</v>
      </c>
      <c r="O14" s="7">
        <f>'PowerHouse Data'!$P$9</f>
        <v>12467.9</v>
      </c>
      <c r="P14" s="19">
        <v>5824</v>
      </c>
      <c r="Q14" s="19">
        <f>Table113456[[#This Row],[Milling DG
Next Ser
Hours]]-Table113456[[#This Row],[DG Milling Run Hr Meter]]</f>
        <v>212.69999999999982</v>
      </c>
      <c r="R14" s="19">
        <v>12643.5</v>
      </c>
      <c r="S14" s="14">
        <f>Table113456[[#This Row],[Parboiling DG
Next Ser
Hours]]-Table113456[[#This Row],[DG Parboiling 
Run Hr Meter]]</f>
        <v>175.60000000000036</v>
      </c>
      <c r="T14" s="21"/>
      <c r="V14" s="20">
        <v>48</v>
      </c>
      <c r="W14" s="20">
        <v>179</v>
      </c>
    </row>
    <row r="15" spans="1:23" ht="18" customHeight="1" thickBot="1" x14ac:dyDescent="0.4">
      <c r="A15" s="17">
        <v>46187</v>
      </c>
      <c r="B15" s="18">
        <v>0.29166666666666669</v>
      </c>
      <c r="C15" s="5">
        <f t="shared" si="2"/>
        <v>2536</v>
      </c>
      <c r="D15" s="7">
        <f>'PowerHouse Data'!$Q$2</f>
        <v>2520</v>
      </c>
      <c r="E15" s="7">
        <f>'PowerHouse Data'!$Q$11</f>
        <v>0</v>
      </c>
      <c r="F15" s="5">
        <f t="shared" si="3"/>
        <v>44572</v>
      </c>
      <c r="G15" s="5">
        <f>'PowerHouse Data'!$Q$10</f>
        <v>0</v>
      </c>
      <c r="H15" s="5">
        <f t="shared" si="0"/>
        <v>0</v>
      </c>
      <c r="I15" s="5">
        <f>Table113456[[#This Row],[Opening Stock (Liters)]]-Table113456[[#This Row],[Closing Stock (Liters)]]+Table113456[[#This Row],[Received (Liters)]]</f>
        <v>178</v>
      </c>
      <c r="J15" s="5">
        <f t="shared" si="1"/>
        <v>44394</v>
      </c>
      <c r="K15" s="5">
        <v>5184</v>
      </c>
      <c r="L15" s="13">
        <f>Table113456[[#This Row],[DG Milling Run Hr Meter]]-M14</f>
        <v>0.5999999999994543</v>
      </c>
      <c r="M15" s="7">
        <f>'PowerHouse Data'!$Q$8</f>
        <v>5611.9</v>
      </c>
      <c r="N15" s="13">
        <f>Table113456[[#This Row],[DG Parboiling 
Run Hr Meter]]-O14</f>
        <v>0.6000000000003638</v>
      </c>
      <c r="O15" s="7">
        <f>'PowerHouse Data'!$Q$9</f>
        <v>12468.5</v>
      </c>
      <c r="P15" s="13">
        <v>5824</v>
      </c>
      <c r="Q15" s="13">
        <f>Table113456[[#This Row],[Milling DG
Next Ser
Hours]]-Table113456[[#This Row],[DG Milling Run Hr Meter]]</f>
        <v>212.10000000000036</v>
      </c>
      <c r="R15" s="13">
        <v>12643.5</v>
      </c>
      <c r="S15" s="13">
        <f>Table113456[[#This Row],[Parboiling DG
Next Ser
Hours]]-Table113456[[#This Row],[DG Parboiling 
Run Hr Meter]]</f>
        <v>175</v>
      </c>
      <c r="T15" s="5"/>
      <c r="V15" s="20">
        <v>52</v>
      </c>
      <c r="W15" s="20">
        <v>202</v>
      </c>
    </row>
    <row r="16" spans="1:23" ht="18" customHeight="1" thickBot="1" x14ac:dyDescent="0.4">
      <c r="A16" s="17">
        <v>46188</v>
      </c>
      <c r="B16" s="18">
        <v>0.29166666666666669</v>
      </c>
      <c r="C16" s="5">
        <f t="shared" si="2"/>
        <v>2520</v>
      </c>
      <c r="D16" s="7">
        <f>'PowerHouse Data'!$R$2</f>
        <v>2424</v>
      </c>
      <c r="E16" s="7">
        <f>'PowerHouse Data'!$R$11</f>
        <v>0</v>
      </c>
      <c r="F16" s="5">
        <f t="shared" si="3"/>
        <v>44394</v>
      </c>
      <c r="G16" s="5">
        <f>'PowerHouse Data'!$R$10</f>
        <v>0</v>
      </c>
      <c r="H16" s="5">
        <f t="shared" si="0"/>
        <v>0</v>
      </c>
      <c r="I16" s="5">
        <f>Table113456[[#This Row],[Opening Stock (Liters)]]-Table113456[[#This Row],[Closing Stock (Liters)]]+Table113456[[#This Row],[Received (Liters)]]</f>
        <v>1195</v>
      </c>
      <c r="J16" s="5">
        <f t="shared" si="1"/>
        <v>43199</v>
      </c>
      <c r="K16" s="5">
        <v>5184</v>
      </c>
      <c r="L16" s="13">
        <f>Table113456[[#This Row],[DG Milling Run Hr Meter]]-M15</f>
        <v>5.3000000000001819</v>
      </c>
      <c r="M16" s="7">
        <f>'PowerHouse Data'!$R$8</f>
        <v>5617.2</v>
      </c>
      <c r="N16" s="13">
        <f>Table113456[[#This Row],[DG Parboiling 
Run Hr Meter]]-O15</f>
        <v>7</v>
      </c>
      <c r="O16" s="7">
        <f>'PowerHouse Data'!$R$9</f>
        <v>12475.5</v>
      </c>
      <c r="P16" s="19">
        <v>5824</v>
      </c>
      <c r="Q16" s="19">
        <f>Table113456[[#This Row],[Milling DG
Next Ser
Hours]]-Table113456[[#This Row],[DG Milling Run Hr Meter]]</f>
        <v>206.80000000000018</v>
      </c>
      <c r="R16" s="19">
        <v>12643.5</v>
      </c>
      <c r="S16" s="14">
        <f>Table113456[[#This Row],[Parboiling DG
Next Ser
Hours]]-Table113456[[#This Row],[DG Parboiling 
Run Hr Meter]]</f>
        <v>168</v>
      </c>
      <c r="T16" s="5"/>
      <c r="V16" s="20">
        <v>56</v>
      </c>
      <c r="W16" s="20">
        <v>226</v>
      </c>
    </row>
    <row r="17" spans="1:25" ht="18" customHeight="1" thickBot="1" x14ac:dyDescent="0.4">
      <c r="A17" s="17">
        <v>46189</v>
      </c>
      <c r="B17" s="18">
        <v>0.29166666666666669</v>
      </c>
      <c r="C17" s="5">
        <f t="shared" si="2"/>
        <v>2424</v>
      </c>
      <c r="D17" s="7">
        <f>'PowerHouse Data'!$S$2</f>
        <v>2424</v>
      </c>
      <c r="E17" s="7">
        <f>'PowerHouse Data'!$S$11</f>
        <v>0</v>
      </c>
      <c r="F17" s="5">
        <f t="shared" si="3"/>
        <v>43199</v>
      </c>
      <c r="G17" s="5">
        <f>'PowerHouse Data'!$S$10</f>
        <v>0</v>
      </c>
      <c r="H17" s="5">
        <f t="shared" si="0"/>
        <v>0</v>
      </c>
      <c r="I17" s="5">
        <f>Table113456[[#This Row],[Opening Stock (Liters)]]-Table113456[[#This Row],[Closing Stock (Liters)]]+Table113456[[#This Row],[Received (Liters)]]</f>
        <v>0</v>
      </c>
      <c r="J17" s="5">
        <f t="shared" si="1"/>
        <v>43199</v>
      </c>
      <c r="K17" s="5">
        <v>5184</v>
      </c>
      <c r="L17" s="13">
        <f>Table113456[[#This Row],[DG Milling Run Hr Meter]]-M16</f>
        <v>0</v>
      </c>
      <c r="M17" s="7">
        <f>'PowerHouse Data'!$S$8</f>
        <v>5617.2</v>
      </c>
      <c r="N17" s="13">
        <f>Table113456[[#This Row],[DG Parboiling 
Run Hr Meter]]-O16</f>
        <v>0</v>
      </c>
      <c r="O17" s="7">
        <f>'PowerHouse Data'!$S$9</f>
        <v>12475.5</v>
      </c>
      <c r="P17" s="13">
        <v>5824</v>
      </c>
      <c r="Q17" s="13">
        <f>Table113456[[#This Row],[Milling DG
Next Ser
Hours]]-Table113456[[#This Row],[DG Milling Run Hr Meter]]</f>
        <v>206.80000000000018</v>
      </c>
      <c r="R17" s="13">
        <v>12643.5</v>
      </c>
      <c r="S17" s="13">
        <f>Table113456[[#This Row],[Parboiling DG
Next Ser
Hours]]-Table113456[[#This Row],[DG Parboiling 
Run Hr Meter]]</f>
        <v>168</v>
      </c>
      <c r="T17" s="21"/>
      <c r="V17" s="20">
        <v>60</v>
      </c>
      <c r="W17" s="20">
        <v>251</v>
      </c>
    </row>
    <row r="18" spans="1:25" ht="18" customHeight="1" thickBot="1" x14ac:dyDescent="0.4">
      <c r="A18" s="17">
        <v>46190</v>
      </c>
      <c r="B18" s="18">
        <v>0.29166666666666669</v>
      </c>
      <c r="C18" s="5">
        <f t="shared" si="2"/>
        <v>2424</v>
      </c>
      <c r="D18" s="7">
        <f>'PowerHouse Data'!$T$2</f>
        <v>2404</v>
      </c>
      <c r="E18" s="7">
        <f>'PowerHouse Data'!$T$11</f>
        <v>0</v>
      </c>
      <c r="F18" s="5">
        <f t="shared" si="3"/>
        <v>43199</v>
      </c>
      <c r="G18" s="5">
        <f>'PowerHouse Data'!$T$10</f>
        <v>0</v>
      </c>
      <c r="H18" s="5">
        <f t="shared" si="0"/>
        <v>0</v>
      </c>
      <c r="I18" s="5">
        <f>Table113456[[#This Row],[Opening Stock (Liters)]]-Table113456[[#This Row],[Closing Stock (Liters)]]+Table113456[[#This Row],[Received (Liters)]]</f>
        <v>274</v>
      </c>
      <c r="J18" s="5">
        <f t="shared" si="1"/>
        <v>42925</v>
      </c>
      <c r="K18" s="5">
        <v>5184</v>
      </c>
      <c r="L18" s="13">
        <f>Table113456[[#This Row],[DG Milling Run Hr Meter]]-M17</f>
        <v>1.6999999999998181</v>
      </c>
      <c r="M18" s="7">
        <f>'PowerHouse Data'!$T$8</f>
        <v>5618.9</v>
      </c>
      <c r="N18" s="13">
        <f>Table113456[[#This Row],[DG Parboiling 
Run Hr Meter]]-O17</f>
        <v>0</v>
      </c>
      <c r="O18" s="7">
        <f>'PowerHouse Data'!$T$9</f>
        <v>12475.5</v>
      </c>
      <c r="P18" s="19">
        <v>5824</v>
      </c>
      <c r="Q18" s="19">
        <f>Table113456[[#This Row],[Milling DG
Next Ser
Hours]]-Table113456[[#This Row],[DG Milling Run Hr Meter]]</f>
        <v>205.10000000000036</v>
      </c>
      <c r="R18" s="19">
        <v>12643.5</v>
      </c>
      <c r="S18" s="14">
        <f>Table113456[[#This Row],[Parboiling DG
Next Ser
Hours]]-Table113456[[#This Row],[DG Parboiling 
Run Hr Meter]]</f>
        <v>168</v>
      </c>
      <c r="T18" s="21"/>
      <c r="V18" s="20">
        <v>64</v>
      </c>
      <c r="W18" s="20">
        <v>276</v>
      </c>
    </row>
    <row r="19" spans="1:25" ht="18" customHeight="1" thickBot="1" x14ac:dyDescent="0.4">
      <c r="A19" s="17">
        <v>46191</v>
      </c>
      <c r="B19" s="18">
        <v>0.29166666666666669</v>
      </c>
      <c r="C19" s="5">
        <f t="shared" si="2"/>
        <v>2404</v>
      </c>
      <c r="D19" s="7">
        <f>'PowerHouse Data'!$U$2</f>
        <v>2404</v>
      </c>
      <c r="E19" s="7">
        <f>'PowerHouse Data'!$U$11</f>
        <v>0</v>
      </c>
      <c r="F19" s="5">
        <f t="shared" si="3"/>
        <v>42925</v>
      </c>
      <c r="G19" s="5">
        <f>'PowerHouse Data'!$U$10</f>
        <v>0</v>
      </c>
      <c r="H19" s="5">
        <f t="shared" si="0"/>
        <v>0</v>
      </c>
      <c r="I19" s="5">
        <f>Table113456[[#This Row],[Opening Stock (Liters)]]-Table113456[[#This Row],[Closing Stock (Liters)]]+Table113456[[#This Row],[Received (Liters)]]</f>
        <v>0</v>
      </c>
      <c r="J19" s="5">
        <f t="shared" si="1"/>
        <v>42925</v>
      </c>
      <c r="K19" s="5">
        <v>5184</v>
      </c>
      <c r="L19" s="13">
        <f>Table113456[[#This Row],[DG Milling Run Hr Meter]]-M18</f>
        <v>0</v>
      </c>
      <c r="M19" s="7">
        <f>'PowerHouse Data'!$U$8</f>
        <v>5618.9</v>
      </c>
      <c r="N19" s="13">
        <f>Table113456[[#This Row],[DG Parboiling 
Run Hr Meter]]-O18</f>
        <v>0</v>
      </c>
      <c r="O19" s="7">
        <f>'PowerHouse Data'!$U$9</f>
        <v>12475.5</v>
      </c>
      <c r="P19" s="13">
        <v>5824</v>
      </c>
      <c r="Q19" s="13">
        <f>Table113456[[#This Row],[Milling DG
Next Ser
Hours]]-Table113456[[#This Row],[DG Milling Run Hr Meter]]</f>
        <v>205.10000000000036</v>
      </c>
      <c r="R19" s="13">
        <v>12643.5</v>
      </c>
      <c r="S19" s="13">
        <f>Table113456[[#This Row],[Parboiling DG
Next Ser
Hours]]-Table113456[[#This Row],[DG Parboiling 
Run Hr Meter]]</f>
        <v>168</v>
      </c>
      <c r="T19" s="5"/>
      <c r="V19" s="20">
        <v>68</v>
      </c>
      <c r="W19" s="20">
        <v>302</v>
      </c>
    </row>
    <row r="20" spans="1:25" ht="18" customHeight="1" thickBot="1" x14ac:dyDescent="0.4">
      <c r="A20" s="17">
        <v>46192</v>
      </c>
      <c r="B20" s="18">
        <v>0.29166666666666669</v>
      </c>
      <c r="C20" s="5">
        <f t="shared" si="2"/>
        <v>2404</v>
      </c>
      <c r="D20" s="7">
        <f>'PowerHouse Data'!$V$2</f>
        <v>2128</v>
      </c>
      <c r="E20" s="7">
        <f>'PowerHouse Data'!$V$11</f>
        <v>0</v>
      </c>
      <c r="F20" s="5">
        <f t="shared" si="3"/>
        <v>42925</v>
      </c>
      <c r="G20" s="5">
        <f>'PowerHouse Data'!$V$10</f>
        <v>0</v>
      </c>
      <c r="H20" s="5">
        <f t="shared" si="0"/>
        <v>0</v>
      </c>
      <c r="I20" s="5">
        <f>Table113456[[#This Row],[Opening Stock (Liters)]]-Table113456[[#This Row],[Closing Stock (Liters)]]+Table113456[[#This Row],[Received (Liters)]]</f>
        <v>4414</v>
      </c>
      <c r="J20" s="5">
        <f t="shared" si="1"/>
        <v>38511</v>
      </c>
      <c r="K20" s="5">
        <v>5184</v>
      </c>
      <c r="L20" s="13">
        <f>Table113456[[#This Row],[DG Milling Run Hr Meter]]-M19</f>
        <v>0.9000000000005457</v>
      </c>
      <c r="M20" s="7">
        <f>'PowerHouse Data'!$V$8</f>
        <v>5619.8</v>
      </c>
      <c r="N20" s="13">
        <f>Table113456[[#This Row],[DG Parboiling 
Run Hr Meter]]-O19</f>
        <v>0.8999999999996362</v>
      </c>
      <c r="O20" s="7">
        <f>'PowerHouse Data'!$V$9</f>
        <v>12476.4</v>
      </c>
      <c r="P20" s="19">
        <v>5824</v>
      </c>
      <c r="Q20" s="19">
        <f>Table113456[[#This Row],[Milling DG
Next Ser
Hours]]-Table113456[[#This Row],[DG Milling Run Hr Meter]]</f>
        <v>204.19999999999982</v>
      </c>
      <c r="R20" s="19">
        <v>12643.5</v>
      </c>
      <c r="S20" s="14">
        <f>Table113456[[#This Row],[Parboiling DG
Next Ser
Hours]]-Table113456[[#This Row],[DG Parboiling 
Run Hr Meter]]</f>
        <v>167.10000000000036</v>
      </c>
      <c r="T20" s="5"/>
      <c r="V20" s="20">
        <v>72</v>
      </c>
      <c r="W20" s="20">
        <v>329</v>
      </c>
    </row>
    <row r="21" spans="1:25" ht="18" customHeight="1" thickBot="1" x14ac:dyDescent="0.4">
      <c r="A21" s="17">
        <v>46193</v>
      </c>
      <c r="B21" s="18">
        <v>0.29166666666666669</v>
      </c>
      <c r="C21" s="5">
        <f t="shared" si="2"/>
        <v>2128</v>
      </c>
      <c r="D21" s="7">
        <f>'PowerHouse Data'!$W$2</f>
        <v>2128</v>
      </c>
      <c r="E21" s="7">
        <f>'PowerHouse Data'!$W$11</f>
        <v>0</v>
      </c>
      <c r="F21" s="5">
        <f t="shared" si="3"/>
        <v>38511</v>
      </c>
      <c r="G21" s="5">
        <f>'PowerHouse Data'!$W$10</f>
        <v>0</v>
      </c>
      <c r="H21" s="5">
        <f t="shared" si="0"/>
        <v>0</v>
      </c>
      <c r="I21" s="5">
        <f>Table113456[[#This Row],[Opening Stock (Liters)]]-Table113456[[#This Row],[Closing Stock (Liters)]]+Table113456[[#This Row],[Received (Liters)]]</f>
        <v>0</v>
      </c>
      <c r="J21" s="5">
        <f t="shared" si="1"/>
        <v>38511</v>
      </c>
      <c r="K21" s="5">
        <v>5184</v>
      </c>
      <c r="L21" s="13">
        <f>Table113456[[#This Row],[DG Milling Run Hr Meter]]-M20</f>
        <v>0</v>
      </c>
      <c r="M21" s="7">
        <f>'PowerHouse Data'!$W$8</f>
        <v>5619.8</v>
      </c>
      <c r="N21" s="13">
        <f>Table113456[[#This Row],[DG Parboiling 
Run Hr Meter]]-O20</f>
        <v>0</v>
      </c>
      <c r="O21" s="7">
        <f>'PowerHouse Data'!$W$9</f>
        <v>12476.4</v>
      </c>
      <c r="P21" s="13">
        <v>5824</v>
      </c>
      <c r="Q21" s="13">
        <f>Table113456[[#This Row],[Milling DG
Next Ser
Hours]]-Table113456[[#This Row],[DG Milling Run Hr Meter]]</f>
        <v>204.19999999999982</v>
      </c>
      <c r="R21" s="13">
        <v>12643.5</v>
      </c>
      <c r="S21" s="13">
        <f>Table113456[[#This Row],[Parboiling DG
Next Ser
Hours]]-Table113456[[#This Row],[DG Parboiling 
Run Hr Meter]]</f>
        <v>167.10000000000036</v>
      </c>
      <c r="T21" s="5"/>
      <c r="V21" s="20">
        <v>76</v>
      </c>
      <c r="W21" s="20">
        <v>357</v>
      </c>
    </row>
    <row r="22" spans="1:25" ht="18" customHeight="1" thickBot="1" x14ac:dyDescent="0.4">
      <c r="A22" s="17">
        <v>46194</v>
      </c>
      <c r="B22" s="18">
        <v>0.29166666666666669</v>
      </c>
      <c r="C22" s="5">
        <f t="shared" si="2"/>
        <v>2128</v>
      </c>
      <c r="D22" s="7">
        <f>'PowerHouse Data'!$X$2</f>
        <v>2128</v>
      </c>
      <c r="E22" s="7">
        <f>'PowerHouse Data'!$X$11</f>
        <v>0</v>
      </c>
      <c r="F22" s="5">
        <f t="shared" si="3"/>
        <v>38511</v>
      </c>
      <c r="G22" s="5">
        <f>'PowerHouse Data'!$X$10</f>
        <v>0</v>
      </c>
      <c r="H22" s="5">
        <f t="shared" si="0"/>
        <v>0</v>
      </c>
      <c r="I22" s="5">
        <f>Table113456[[#This Row],[Opening Stock (Liters)]]-Table113456[[#This Row],[Closing Stock (Liters)]]+Table113456[[#This Row],[Received (Liters)]]</f>
        <v>0</v>
      </c>
      <c r="J22" s="5">
        <f t="shared" si="1"/>
        <v>38511</v>
      </c>
      <c r="K22" s="5">
        <v>5184</v>
      </c>
      <c r="L22" s="13">
        <f>Table113456[[#This Row],[DG Milling Run Hr Meter]]-M21</f>
        <v>1.5</v>
      </c>
      <c r="M22" s="7">
        <f>'PowerHouse Data'!$X$8</f>
        <v>5621.3</v>
      </c>
      <c r="N22" s="13">
        <f>Table113456[[#This Row],[DG Parboiling 
Run Hr Meter]]-O21</f>
        <v>1.5</v>
      </c>
      <c r="O22" s="7">
        <f>'PowerHouse Data'!$X$9</f>
        <v>12477.9</v>
      </c>
      <c r="P22" s="19">
        <v>5824</v>
      </c>
      <c r="Q22" s="19">
        <f>Table113456[[#This Row],[Milling DG
Next Ser
Hours]]-Table113456[[#This Row],[DG Milling Run Hr Meter]]</f>
        <v>202.69999999999982</v>
      </c>
      <c r="R22" s="19">
        <v>12643.5</v>
      </c>
      <c r="S22" s="14">
        <f>Table113456[[#This Row],[Parboiling DG
Next Ser
Hours]]-Table113456[[#This Row],[DG Parboiling 
Run Hr Meter]]</f>
        <v>165.60000000000036</v>
      </c>
      <c r="T22" s="5"/>
      <c r="V22" s="20">
        <v>80</v>
      </c>
      <c r="W22" s="20">
        <v>385</v>
      </c>
    </row>
    <row r="23" spans="1:25" ht="18" customHeight="1" thickBot="1" x14ac:dyDescent="0.4">
      <c r="A23" s="17">
        <v>46195</v>
      </c>
      <c r="B23" s="18">
        <v>0.29166666666666669</v>
      </c>
      <c r="C23" s="5">
        <f t="shared" si="2"/>
        <v>2128</v>
      </c>
      <c r="D23" s="7">
        <f>'PowerHouse Data'!$Y$2</f>
        <v>2096</v>
      </c>
      <c r="E23" s="7">
        <f>'PowerHouse Data'!$Y$11</f>
        <v>0</v>
      </c>
      <c r="F23" s="5">
        <f t="shared" si="3"/>
        <v>38511</v>
      </c>
      <c r="G23" s="5">
        <f>'PowerHouse Data'!$Y$10</f>
        <v>0</v>
      </c>
      <c r="H23" s="5">
        <f t="shared" si="0"/>
        <v>0</v>
      </c>
      <c r="I23" s="5">
        <f>Table113456[[#This Row],[Opening Stock (Liters)]]-Table113456[[#This Row],[Closing Stock (Liters)]]+Table113456[[#This Row],[Received (Liters)]]</f>
        <v>574</v>
      </c>
      <c r="J23" s="5">
        <f t="shared" si="1"/>
        <v>37937</v>
      </c>
      <c r="K23" s="5">
        <v>5184</v>
      </c>
      <c r="L23" s="13">
        <f>Table113456[[#This Row],[DG Milling Run Hr Meter]]-M22</f>
        <v>0</v>
      </c>
      <c r="M23" s="7">
        <f>'PowerHouse Data'!$Y$8</f>
        <v>5621.3</v>
      </c>
      <c r="N23" s="13">
        <f>Table113456[[#This Row],[DG Parboiling 
Run Hr Meter]]-O22</f>
        <v>0</v>
      </c>
      <c r="O23" s="7">
        <f>'PowerHouse Data'!$Y$9</f>
        <v>12477.9</v>
      </c>
      <c r="P23" s="13">
        <v>5824</v>
      </c>
      <c r="Q23" s="13">
        <f>Table113456[[#This Row],[Milling DG
Next Ser
Hours]]-Table113456[[#This Row],[DG Milling Run Hr Meter]]</f>
        <v>202.69999999999982</v>
      </c>
      <c r="R23" s="13">
        <v>12643.5</v>
      </c>
      <c r="S23" s="13">
        <f>Table113456[[#This Row],[Parboiling DG
Next Ser
Hours]]-Table113456[[#This Row],[DG Parboiling 
Run Hr Meter]]</f>
        <v>165.60000000000036</v>
      </c>
      <c r="T23" s="21"/>
      <c r="V23" s="20">
        <v>84</v>
      </c>
      <c r="W23" s="20">
        <v>415</v>
      </c>
    </row>
    <row r="24" spans="1:25" ht="18" customHeight="1" thickBot="1" x14ac:dyDescent="0.4">
      <c r="A24" s="17">
        <v>46196</v>
      </c>
      <c r="B24" s="18">
        <v>0.29166666666666669</v>
      </c>
      <c r="C24" s="5">
        <f t="shared" si="2"/>
        <v>2096</v>
      </c>
      <c r="D24" s="7">
        <f>'PowerHouse Data'!$Z$2</f>
        <v>2076</v>
      </c>
      <c r="E24" s="7">
        <f>'PowerHouse Data'!$Z$11</f>
        <v>0</v>
      </c>
      <c r="F24" s="5">
        <f t="shared" si="3"/>
        <v>37937</v>
      </c>
      <c r="G24" s="5">
        <f>'PowerHouse Data'!$Z$10</f>
        <v>0</v>
      </c>
      <c r="H24" s="5">
        <f t="shared" si="0"/>
        <v>0</v>
      </c>
      <c r="I24" s="5">
        <f>Table113456[[#This Row],[Opening Stock (Liters)]]-Table113456[[#This Row],[Closing Stock (Liters)]]+Table113456[[#This Row],[Received (Liters)]]</f>
        <v>364</v>
      </c>
      <c r="J24" s="5">
        <f t="shared" si="1"/>
        <v>37573</v>
      </c>
      <c r="K24" s="5">
        <v>5184</v>
      </c>
      <c r="L24" s="13">
        <f>Table113456[[#This Row],[DG Milling Run Hr Meter]]-M23</f>
        <v>1</v>
      </c>
      <c r="M24" s="7">
        <f>'PowerHouse Data'!$Z$8</f>
        <v>5622.3</v>
      </c>
      <c r="N24" s="13">
        <f>Table113456[[#This Row],[DG Parboiling 
Run Hr Meter]]-O23</f>
        <v>1</v>
      </c>
      <c r="O24" s="7">
        <f>'PowerHouse Data'!$Z$9</f>
        <v>12478.9</v>
      </c>
      <c r="P24" s="19">
        <v>5824</v>
      </c>
      <c r="Q24" s="19">
        <f>Table113456[[#This Row],[Milling DG
Next Ser
Hours]]-Table113456[[#This Row],[DG Milling Run Hr Meter]]</f>
        <v>201.69999999999982</v>
      </c>
      <c r="R24" s="19">
        <v>12643.5</v>
      </c>
      <c r="S24" s="14">
        <f>Table113456[[#This Row],[Parboiling DG
Next Ser
Hours]]-Table113456[[#This Row],[DG Parboiling 
Run Hr Meter]]</f>
        <v>164.60000000000036</v>
      </c>
      <c r="T24" s="5"/>
      <c r="V24" s="20">
        <v>88</v>
      </c>
      <c r="W24" s="20">
        <v>444</v>
      </c>
      <c r="Y24">
        <v>45121</v>
      </c>
    </row>
    <row r="25" spans="1:25" ht="18" customHeight="1" thickBot="1" x14ac:dyDescent="0.4">
      <c r="A25" s="17">
        <v>46197</v>
      </c>
      <c r="B25" s="18">
        <v>0.29166666666666669</v>
      </c>
      <c r="C25" s="5">
        <f>D24</f>
        <v>2076</v>
      </c>
      <c r="D25" s="7">
        <f>'PowerHouse Data'!$AA$2</f>
        <v>2076</v>
      </c>
      <c r="E25" s="7">
        <f>'PowerHouse Data'!$AA$11</f>
        <v>0</v>
      </c>
      <c r="F25" s="5">
        <f t="shared" si="3"/>
        <v>37573</v>
      </c>
      <c r="G25" s="5">
        <f>'PowerHouse Data'!$AA$10</f>
        <v>0</v>
      </c>
      <c r="H25" s="5">
        <f t="shared" si="0"/>
        <v>0</v>
      </c>
      <c r="I25" s="5">
        <f>Table113456[[#This Row],[Opening Stock (Liters)]]-Table113456[[#This Row],[Closing Stock (Liters)]]+Table113456[[#This Row],[Received (Liters)]]</f>
        <v>0</v>
      </c>
      <c r="J25" s="5">
        <f t="shared" si="1"/>
        <v>37573</v>
      </c>
      <c r="K25" s="5">
        <v>5184</v>
      </c>
      <c r="L25" s="13">
        <f>Table113456[[#This Row],[DG Milling Run Hr Meter]]-M24</f>
        <v>0</v>
      </c>
      <c r="M25" s="7">
        <f>'PowerHouse Data'!$AA$8</f>
        <v>5622.3</v>
      </c>
      <c r="N25" s="13">
        <f>Table113456[[#This Row],[DG Parboiling 
Run Hr Meter]]-O24</f>
        <v>0</v>
      </c>
      <c r="O25" s="7">
        <f>'PowerHouse Data'!$AA$9</f>
        <v>12478.9</v>
      </c>
      <c r="P25" s="13">
        <v>5824</v>
      </c>
      <c r="Q25" s="13">
        <f>Table113456[[#This Row],[Milling DG
Next Ser
Hours]]-Table113456[[#This Row],[DG Milling Run Hr Meter]]</f>
        <v>201.69999999999982</v>
      </c>
      <c r="R25" s="13">
        <v>12643.5</v>
      </c>
      <c r="S25" s="13">
        <f>Table113456[[#This Row],[Parboiling DG
Next Ser
Hours]]-Table113456[[#This Row],[DG Parboiling 
Run Hr Meter]]</f>
        <v>164.60000000000036</v>
      </c>
      <c r="T25" s="21"/>
      <c r="V25" s="20">
        <v>92</v>
      </c>
      <c r="W25" s="20">
        <v>475</v>
      </c>
    </row>
    <row r="26" spans="1:25" ht="18" customHeight="1" thickBot="1" x14ac:dyDescent="0.4">
      <c r="A26" s="17">
        <v>46198</v>
      </c>
      <c r="B26" s="18">
        <v>0.29166666666666669</v>
      </c>
      <c r="C26" s="5">
        <f t="shared" si="2"/>
        <v>2076</v>
      </c>
      <c r="D26" s="7">
        <f>'PowerHouse Data'!$AB$2</f>
        <v>2076</v>
      </c>
      <c r="E26" s="7">
        <f>'PowerHouse Data'!$AB$11</f>
        <v>0</v>
      </c>
      <c r="F26" s="5">
        <f t="shared" si="3"/>
        <v>37573</v>
      </c>
      <c r="G26" s="5">
        <f>'PowerHouse Data'!$AB$10</f>
        <v>0</v>
      </c>
      <c r="H26" s="5">
        <f t="shared" si="0"/>
        <v>0</v>
      </c>
      <c r="I26" s="5">
        <f>Table113456[[#This Row],[Opening Stock (Liters)]]-Table113456[[#This Row],[Closing Stock (Liters)]]+Table113456[[#This Row],[Received (Liters)]]</f>
        <v>0</v>
      </c>
      <c r="J26" s="5">
        <f t="shared" si="1"/>
        <v>37573</v>
      </c>
      <c r="K26" s="5">
        <v>5184</v>
      </c>
      <c r="L26" s="13">
        <f>Table113456[[#This Row],[DG Milling Run Hr Meter]]-M25</f>
        <v>0</v>
      </c>
      <c r="M26" s="7">
        <f>'PowerHouse Data'!$AB$8</f>
        <v>5622.3</v>
      </c>
      <c r="N26" s="13">
        <f>Table113456[[#This Row],[DG Parboiling 
Run Hr Meter]]-O25</f>
        <v>0</v>
      </c>
      <c r="O26" s="7">
        <f>'PowerHouse Data'!$AB$9</f>
        <v>12478.9</v>
      </c>
      <c r="P26" s="19">
        <v>5824</v>
      </c>
      <c r="Q26" s="19">
        <f>Table113456[[#This Row],[Milling DG
Next Ser
Hours]]-Table113456[[#This Row],[DG Milling Run Hr Meter]]</f>
        <v>201.69999999999982</v>
      </c>
      <c r="R26" s="19">
        <v>12643.5</v>
      </c>
      <c r="S26" s="14">
        <f>Table113456[[#This Row],[Parboiling DG
Next Ser
Hours]]-Table113456[[#This Row],[DG Parboiling 
Run Hr Meter]]</f>
        <v>164.60000000000036</v>
      </c>
      <c r="T26" s="5"/>
      <c r="V26" s="20">
        <v>96</v>
      </c>
      <c r="W26" s="20">
        <v>506</v>
      </c>
    </row>
    <row r="27" spans="1:25" ht="18" customHeight="1" thickBot="1" x14ac:dyDescent="0.4">
      <c r="A27" s="17">
        <v>46199</v>
      </c>
      <c r="B27" s="18">
        <v>0.29166666666666669</v>
      </c>
      <c r="C27" s="5">
        <f t="shared" si="2"/>
        <v>2076</v>
      </c>
      <c r="D27" s="7">
        <f>'PowerHouse Data'!$AC$2</f>
        <v>2076</v>
      </c>
      <c r="E27" s="7">
        <f>'PowerHouse Data'!$AC$11</f>
        <v>0</v>
      </c>
      <c r="F27" s="5">
        <f t="shared" si="3"/>
        <v>37573</v>
      </c>
      <c r="G27" s="5">
        <f>'PowerHouse Data'!$AC$10</f>
        <v>0</v>
      </c>
      <c r="H27" s="5">
        <f t="shared" si="0"/>
        <v>0</v>
      </c>
      <c r="I27" s="5">
        <f>Table113456[[#This Row],[Opening Stock (Liters)]]-Table113456[[#This Row],[Closing Stock (Liters)]]+Table113456[[#This Row],[Received (Liters)]]</f>
        <v>0</v>
      </c>
      <c r="J27" s="5">
        <f t="shared" si="1"/>
        <v>37573</v>
      </c>
      <c r="K27" s="5">
        <v>5184</v>
      </c>
      <c r="L27" s="13">
        <f>Table113456[[#This Row],[DG Milling Run Hr Meter]]-M26</f>
        <v>0</v>
      </c>
      <c r="M27" s="7">
        <f>'PowerHouse Data'!$AC$8</f>
        <v>5622.3</v>
      </c>
      <c r="N27" s="13">
        <f>Table113456[[#This Row],[DG Parboiling 
Run Hr Meter]]-O26</f>
        <v>0</v>
      </c>
      <c r="O27" s="7">
        <f>'PowerHouse Data'!$AC$9</f>
        <v>12478.9</v>
      </c>
      <c r="P27" s="13">
        <v>5824</v>
      </c>
      <c r="Q27" s="13">
        <f>Table113456[[#This Row],[Milling DG
Next Ser
Hours]]-Table113456[[#This Row],[DG Milling Run Hr Meter]]</f>
        <v>201.69999999999982</v>
      </c>
      <c r="R27" s="13">
        <v>12643.5</v>
      </c>
      <c r="S27" s="13">
        <f>Table113456[[#This Row],[Parboiling DG
Next Ser
Hours]]-Table113456[[#This Row],[DG Parboiling 
Run Hr Meter]]</f>
        <v>164.60000000000036</v>
      </c>
      <c r="T27" s="21"/>
      <c r="V27" s="20">
        <v>100</v>
      </c>
      <c r="W27" s="20">
        <v>538</v>
      </c>
    </row>
    <row r="28" spans="1:25" ht="18" customHeight="1" thickBot="1" x14ac:dyDescent="0.4">
      <c r="A28" s="17">
        <v>46200</v>
      </c>
      <c r="B28" s="18">
        <v>0.29166666666666669</v>
      </c>
      <c r="C28" s="5">
        <f t="shared" si="2"/>
        <v>2076</v>
      </c>
      <c r="D28" s="7">
        <f>'PowerHouse Data'!$AD$2</f>
        <v>2076</v>
      </c>
      <c r="E28" s="7">
        <f>'PowerHouse Data'!$AD$11</f>
        <v>0</v>
      </c>
      <c r="F28" s="5">
        <f t="shared" si="3"/>
        <v>37573</v>
      </c>
      <c r="G28" s="5">
        <f>'PowerHouse Data'!$AD$10</f>
        <v>0</v>
      </c>
      <c r="H28" s="5">
        <f t="shared" si="0"/>
        <v>0</v>
      </c>
      <c r="I28" s="5">
        <f>Table113456[[#This Row],[Opening Stock (Liters)]]-Table113456[[#This Row],[Closing Stock (Liters)]]+Table113456[[#This Row],[Received (Liters)]]</f>
        <v>0</v>
      </c>
      <c r="J28" s="5">
        <f t="shared" si="1"/>
        <v>37573</v>
      </c>
      <c r="K28" s="5">
        <v>5184</v>
      </c>
      <c r="L28" s="13">
        <f>Table113456[[#This Row],[DG Milling Run Hr Meter]]-M27</f>
        <v>0</v>
      </c>
      <c r="M28" s="7">
        <f>'PowerHouse Data'!$AD$8</f>
        <v>5622.3</v>
      </c>
      <c r="N28" s="13">
        <f>Table113456[[#This Row],[DG Parboiling 
Run Hr Meter]]-O27</f>
        <v>0</v>
      </c>
      <c r="O28" s="7">
        <f>'PowerHouse Data'!$AD$9</f>
        <v>12478.9</v>
      </c>
      <c r="P28" s="19">
        <v>5824</v>
      </c>
      <c r="Q28" s="19">
        <f>Table113456[[#This Row],[Milling DG
Next Ser
Hours]]-Table113456[[#This Row],[DG Milling Run Hr Meter]]</f>
        <v>201.69999999999982</v>
      </c>
      <c r="R28" s="19">
        <v>12643.5</v>
      </c>
      <c r="S28" s="14">
        <f>Table113456[[#This Row],[Parboiling DG
Next Ser
Hours]]-Table113456[[#This Row],[DG Parboiling 
Run Hr Meter]]</f>
        <v>164.60000000000036</v>
      </c>
      <c r="T28" s="21"/>
      <c r="V28" s="20">
        <v>104</v>
      </c>
      <c r="W28" s="20">
        <v>570</v>
      </c>
    </row>
    <row r="29" spans="1:25" ht="18" customHeight="1" thickBot="1" x14ac:dyDescent="0.4">
      <c r="A29" s="17">
        <v>46201</v>
      </c>
      <c r="B29" s="18">
        <v>0.29166666666666669</v>
      </c>
      <c r="C29" s="5">
        <f t="shared" si="2"/>
        <v>2076</v>
      </c>
      <c r="D29" s="7">
        <f>'PowerHouse Data'!$AE$2</f>
        <v>2060</v>
      </c>
      <c r="E29" s="7">
        <f>'PowerHouse Data'!$AE$11</f>
        <v>0</v>
      </c>
      <c r="F29" s="5">
        <f t="shared" si="3"/>
        <v>37573</v>
      </c>
      <c r="G29" s="5">
        <f>'PowerHouse Data'!$AE$10</f>
        <v>0</v>
      </c>
      <c r="H29" s="5">
        <f t="shared" si="0"/>
        <v>0</v>
      </c>
      <c r="I29" s="5">
        <f>Table113456[[#This Row],[Opening Stock (Liters)]]-Table113456[[#This Row],[Closing Stock (Liters)]]+Table113456[[#This Row],[Received (Liters)]]</f>
        <v>295</v>
      </c>
      <c r="J29" s="5">
        <f t="shared" si="1"/>
        <v>37278</v>
      </c>
      <c r="K29" s="5">
        <v>5184</v>
      </c>
      <c r="L29" s="13">
        <f>Table113456[[#This Row],[DG Milling Run Hr Meter]]-M28</f>
        <v>0</v>
      </c>
      <c r="M29" s="7">
        <f>'PowerHouse Data'!$AE$8</f>
        <v>5622.3</v>
      </c>
      <c r="N29" s="13">
        <f>Table113456[[#This Row],[DG Parboiling 
Run Hr Meter]]-O28</f>
        <v>0.3999999999996362</v>
      </c>
      <c r="O29" s="7">
        <f>'PowerHouse Data'!$AE$9</f>
        <v>12479.3</v>
      </c>
      <c r="P29" s="13">
        <v>5824</v>
      </c>
      <c r="Q29" s="13">
        <f>Table113456[[#This Row],[Milling DG
Next Ser
Hours]]-Table113456[[#This Row],[DG Milling Run Hr Meter]]</f>
        <v>201.69999999999982</v>
      </c>
      <c r="R29" s="13">
        <v>12643.5</v>
      </c>
      <c r="S29" s="13">
        <f>Table113456[[#This Row],[Parboiling DG
Next Ser
Hours]]-Table113456[[#This Row],[DG Parboiling 
Run Hr Meter]]</f>
        <v>164.20000000000073</v>
      </c>
      <c r="T29" s="21"/>
      <c r="V29" s="20">
        <v>108</v>
      </c>
      <c r="W29" s="20">
        <v>602</v>
      </c>
    </row>
    <row r="30" spans="1:25" ht="15" thickBot="1" x14ac:dyDescent="0.4">
      <c r="A30" s="17">
        <v>46202</v>
      </c>
      <c r="B30" s="18">
        <v>0.29166666666666669</v>
      </c>
      <c r="C30" s="5">
        <f t="shared" si="2"/>
        <v>2060</v>
      </c>
      <c r="D30" s="7">
        <f>'PowerHouse Data'!$AF$2</f>
        <v>2060</v>
      </c>
      <c r="E30" s="7">
        <f>'PowerHouse Data'!$AF$11</f>
        <v>0</v>
      </c>
      <c r="F30" s="5">
        <f t="shared" si="3"/>
        <v>37278</v>
      </c>
      <c r="G30" s="5">
        <f>'PowerHouse Data'!$AF$10</f>
        <v>0</v>
      </c>
      <c r="H30" s="5">
        <f t="shared" si="0"/>
        <v>0</v>
      </c>
      <c r="I30" s="5">
        <f>Table113456[[#This Row],[Opening Stock (Liters)]]-Table113456[[#This Row],[Closing Stock (Liters)]]+Table113456[[#This Row],[Received (Liters)]]</f>
        <v>0</v>
      </c>
      <c r="J30" s="5">
        <f t="shared" si="1"/>
        <v>37278</v>
      </c>
      <c r="K30" s="5">
        <v>5184</v>
      </c>
      <c r="L30" s="13">
        <f>Table113456[[#This Row],[DG Milling Run Hr Meter]]-M29</f>
        <v>0</v>
      </c>
      <c r="M30" s="7">
        <f>'PowerHouse Data'!$AF$8</f>
        <v>5622.3</v>
      </c>
      <c r="N30" s="13">
        <f>Table113456[[#This Row],[DG Parboiling 
Run Hr Meter]]-O29</f>
        <v>0</v>
      </c>
      <c r="O30" s="7">
        <f>'PowerHouse Data'!$AF$9</f>
        <v>12479.3</v>
      </c>
      <c r="P30" s="19">
        <v>5824</v>
      </c>
      <c r="Q30" s="19">
        <f>Table113456[[#This Row],[Milling DG
Next Ser
Hours]]-Table113456[[#This Row],[DG Milling Run Hr Meter]]</f>
        <v>201.69999999999982</v>
      </c>
      <c r="R30" s="19">
        <v>12643.5</v>
      </c>
      <c r="S30" s="14">
        <f>Table113456[[#This Row],[Parboiling DG
Next Ser
Hours]]-Table113456[[#This Row],[DG Parboiling 
Run Hr Meter]]</f>
        <v>164.20000000000073</v>
      </c>
      <c r="T30" s="21"/>
      <c r="V30" s="20">
        <v>112</v>
      </c>
      <c r="W30" s="20">
        <v>637</v>
      </c>
    </row>
    <row r="31" spans="1:25" ht="15" thickBot="1" x14ac:dyDescent="0.4">
      <c r="A31" s="17">
        <v>46203</v>
      </c>
      <c r="B31" s="18">
        <v>0.29166666666666669</v>
      </c>
      <c r="C31" s="5">
        <f t="shared" si="2"/>
        <v>2060</v>
      </c>
      <c r="D31" s="7">
        <f>'PowerHouse Data'!$AG$2</f>
        <v>0</v>
      </c>
      <c r="E31" s="7">
        <f>'PowerHouse Data'!$AG$11</f>
        <v>0</v>
      </c>
      <c r="F31" s="5">
        <f t="shared" si="3"/>
        <v>37278</v>
      </c>
      <c r="G31" s="5">
        <f>'PowerHouse Data'!$AH$10</f>
        <v>0</v>
      </c>
      <c r="H31" s="5">
        <f t="shared" si="0"/>
        <v>0</v>
      </c>
      <c r="I31" s="5">
        <f>Table113456[[#This Row],[Opening Stock (Liters)]]-Table113456[[#This Row],[Closing Stock (Liters)]]+Table113456[[#This Row],[Received (Liters)]]</f>
        <v>37278</v>
      </c>
      <c r="J31" s="5">
        <f t="shared" si="1"/>
        <v>0</v>
      </c>
      <c r="K31" s="5">
        <v>5184</v>
      </c>
      <c r="L31" s="13">
        <f>Table113456[[#This Row],[DG Milling Run Hr Meter]]-M30</f>
        <v>-5622.3</v>
      </c>
      <c r="M31" s="7">
        <f>'PowerHouse Data'!$AG$8</f>
        <v>0</v>
      </c>
      <c r="N31" s="13">
        <f>Table113456[[#This Row],[DG Parboiling 
Run Hr Meter]]-O30</f>
        <v>-12479.3</v>
      </c>
      <c r="O31" s="7">
        <f>'PowerHouse Data'!$AG$9</f>
        <v>0</v>
      </c>
      <c r="P31" s="13">
        <v>5824</v>
      </c>
      <c r="Q31" s="13">
        <f>Table113456[[#This Row],[Milling DG
Next Ser
Hours]]-Table113456[[#This Row],[DG Milling Run Hr Meter]]</f>
        <v>5824</v>
      </c>
      <c r="R31" s="13">
        <v>12643.5</v>
      </c>
      <c r="S31" s="13">
        <f>Table113456[[#This Row],[Parboiling DG
Next Ser
Hours]]-Table113456[[#This Row],[DG Parboiling 
Run Hr Meter]]</f>
        <v>12643.5</v>
      </c>
      <c r="T31" s="21"/>
      <c r="V31" s="20">
        <v>116</v>
      </c>
      <c r="W31" s="20">
        <v>671</v>
      </c>
    </row>
    <row r="32" spans="1:25" ht="15" thickBot="1" x14ac:dyDescent="0.4">
      <c r="A32" s="43"/>
      <c r="B32" s="18"/>
      <c r="C32" s="5"/>
      <c r="D32" s="7">
        <f>'PowerHouse Data'!$AH$2</f>
        <v>0</v>
      </c>
      <c r="E32" s="7">
        <f>'PowerHouse Data'!$AH$11</f>
        <v>0</v>
      </c>
      <c r="F32" s="5"/>
      <c r="G32" s="5"/>
      <c r="H32" s="5"/>
      <c r="I32" s="5">
        <f>Table113456[[#This Row],[Opening Stock (Liters)]]-Table113456[[#This Row],[Closing Stock (Liters)]]+Table113456[[#This Row],[Received (Liters)]]</f>
        <v>0</v>
      </c>
      <c r="J32" s="5">
        <f t="shared" si="1"/>
        <v>0</v>
      </c>
      <c r="K32" s="5"/>
      <c r="L32" s="13"/>
      <c r="M32" s="7">
        <f>'PowerHouse Data'!$AH$8</f>
        <v>0</v>
      </c>
      <c r="N32" s="13"/>
      <c r="O32" s="7">
        <f>'PowerHouse Data'!$AH$9</f>
        <v>0</v>
      </c>
      <c r="P32" s="14"/>
      <c r="Q32" s="19">
        <f>Table113456[[#This Row],[Milling DG
Next Ser
Hours]]-Table113456[[#This Row],[DG Milling Run Hr Meter]]</f>
        <v>0</v>
      </c>
      <c r="R32" s="14"/>
      <c r="S32" s="14">
        <f>Table113456[[#This Row],[Parboiling DG
Next Ser
Hours]]-Table113456[[#This Row],[DG Parboiling 
Run Hr Meter]]</f>
        <v>0</v>
      </c>
      <c r="T32" s="34"/>
      <c r="V32" s="20"/>
      <c r="W32" s="20"/>
    </row>
    <row r="33" spans="1:23" ht="15" thickBot="1" x14ac:dyDescent="0.4">
      <c r="A33" t="s">
        <v>30</v>
      </c>
      <c r="B33" t="s">
        <v>31</v>
      </c>
      <c r="C33">
        <f>SUM(Table113456[Received (Liters)])</f>
        <v>11500</v>
      </c>
      <c r="F33" s="22"/>
      <c r="G33" s="22"/>
      <c r="H33" s="22"/>
      <c r="I33" s="22"/>
      <c r="J33" s="22"/>
      <c r="K33" s="22"/>
      <c r="V33" s="20">
        <v>132</v>
      </c>
      <c r="W33" s="20">
        <v>813</v>
      </c>
    </row>
    <row r="34" spans="1:23" ht="15" thickBot="1" x14ac:dyDescent="0.4">
      <c r="B34" t="s">
        <v>32</v>
      </c>
      <c r="C34">
        <f>SUM(Table113456[Consumption (Liters)])</f>
        <v>53948</v>
      </c>
      <c r="F34" s="22"/>
      <c r="G34" s="22"/>
      <c r="H34" s="22"/>
      <c r="I34" s="22"/>
      <c r="J34" s="22"/>
      <c r="K34" s="22"/>
      <c r="V34" s="20">
        <v>136</v>
      </c>
      <c r="W34" s="20">
        <v>850</v>
      </c>
    </row>
    <row r="35" spans="1:23" ht="15" thickBot="1" x14ac:dyDescent="0.4">
      <c r="F35" s="22"/>
      <c r="G35" s="22"/>
      <c r="H35" s="22"/>
      <c r="I35" s="22"/>
      <c r="J35" s="22"/>
      <c r="K35" s="22"/>
      <c r="V35" s="20">
        <v>140</v>
      </c>
      <c r="W35" s="20">
        <v>888</v>
      </c>
    </row>
    <row r="36" spans="1:23" ht="15" thickBot="1" x14ac:dyDescent="0.4">
      <c r="A36" s="46" t="s">
        <v>75</v>
      </c>
      <c r="B36" s="47"/>
      <c r="C36" s="47"/>
      <c r="D36" s="47"/>
      <c r="E36" s="47"/>
      <c r="F36" s="22"/>
      <c r="G36" s="22"/>
      <c r="H36" s="22"/>
      <c r="I36" s="22"/>
      <c r="J36" s="22"/>
      <c r="K36" s="22"/>
      <c r="V36" s="20">
        <v>144</v>
      </c>
      <c r="W36" s="20">
        <v>926</v>
      </c>
    </row>
    <row r="37" spans="1:23" ht="15" thickBot="1" x14ac:dyDescent="0.4">
      <c r="A37" s="47"/>
      <c r="B37" s="47"/>
      <c r="C37" s="47"/>
      <c r="D37" s="47"/>
      <c r="E37" s="47"/>
      <c r="F37" s="22"/>
      <c r="G37" s="22"/>
      <c r="H37" s="22"/>
      <c r="I37" s="22"/>
      <c r="J37" s="22"/>
      <c r="K37" s="22"/>
      <c r="V37" s="20">
        <v>148</v>
      </c>
      <c r="W37" s="20">
        <v>964</v>
      </c>
    </row>
    <row r="38" spans="1:23" ht="15" thickBot="1" x14ac:dyDescent="0.4">
      <c r="A38" s="47"/>
      <c r="B38" s="47"/>
      <c r="C38" s="47"/>
      <c r="D38" s="47"/>
      <c r="E38" s="47"/>
      <c r="F38" s="22"/>
      <c r="G38" s="22"/>
      <c r="H38" s="22"/>
      <c r="I38" s="22"/>
      <c r="J38" s="22"/>
      <c r="V38" s="20">
        <v>152</v>
      </c>
      <c r="W38" s="20">
        <v>1003</v>
      </c>
    </row>
    <row r="39" spans="1:23" ht="15" thickBot="1" x14ac:dyDescent="0.4">
      <c r="A39" s="47"/>
      <c r="B39" s="47"/>
      <c r="C39" s="47"/>
      <c r="D39" s="47"/>
      <c r="E39" s="47"/>
      <c r="F39" s="22"/>
      <c r="G39" s="22"/>
      <c r="H39" s="22"/>
      <c r="I39" s="22"/>
      <c r="J39" s="22"/>
      <c r="V39" s="20">
        <v>156</v>
      </c>
      <c r="W39" s="20">
        <v>1043</v>
      </c>
    </row>
    <row r="40" spans="1:23" ht="15" thickBot="1" x14ac:dyDescent="0.4">
      <c r="A40" s="47"/>
      <c r="B40" s="47"/>
      <c r="C40" s="47"/>
      <c r="D40" s="47"/>
      <c r="E40" s="47"/>
      <c r="F40" s="22"/>
      <c r="G40" s="22"/>
      <c r="H40" s="22"/>
      <c r="I40" s="22"/>
      <c r="J40" s="22"/>
      <c r="V40" s="20">
        <v>160</v>
      </c>
      <c r="W40" s="20">
        <v>1083</v>
      </c>
    </row>
    <row r="41" spans="1:23" ht="15" thickBot="1" x14ac:dyDescent="0.4">
      <c r="A41" s="47"/>
      <c r="B41" s="47"/>
      <c r="C41" s="47"/>
      <c r="D41" s="47"/>
      <c r="E41" s="47"/>
      <c r="F41" s="22"/>
      <c r="G41" s="22"/>
      <c r="H41" s="22"/>
      <c r="I41" s="22"/>
      <c r="J41" s="22"/>
      <c r="V41" s="20">
        <v>164</v>
      </c>
      <c r="W41" s="20">
        <v>1123</v>
      </c>
    </row>
    <row r="42" spans="1:23" ht="15" thickBot="1" x14ac:dyDescent="0.4">
      <c r="F42" s="22"/>
      <c r="G42" s="22"/>
      <c r="H42" s="22"/>
      <c r="I42" s="22"/>
      <c r="J42" s="22"/>
      <c r="V42" s="20">
        <v>168</v>
      </c>
      <c r="W42" s="20">
        <v>1164</v>
      </c>
    </row>
    <row r="43" spans="1:23" ht="15" thickBot="1" x14ac:dyDescent="0.4">
      <c r="F43" s="22"/>
      <c r="G43" s="22"/>
      <c r="H43" s="22"/>
      <c r="I43" s="22"/>
      <c r="J43" s="22"/>
      <c r="V43" s="20">
        <v>172</v>
      </c>
      <c r="W43" s="20">
        <v>1205</v>
      </c>
    </row>
    <row r="44" spans="1:23" ht="15" thickBot="1" x14ac:dyDescent="0.4">
      <c r="V44" s="20">
        <v>176</v>
      </c>
      <c r="W44" s="20">
        <v>1247</v>
      </c>
    </row>
    <row r="45" spans="1:23" ht="15" thickBot="1" x14ac:dyDescent="0.4">
      <c r="V45" s="20">
        <v>180</v>
      </c>
      <c r="W45" s="20">
        <v>1289</v>
      </c>
    </row>
    <row r="46" spans="1:23" ht="15" thickBot="1" x14ac:dyDescent="0.4">
      <c r="V46" s="20">
        <v>184</v>
      </c>
      <c r="W46" s="20">
        <v>1332</v>
      </c>
    </row>
    <row r="47" spans="1:23" ht="15" thickBot="1" x14ac:dyDescent="0.4">
      <c r="V47" s="20">
        <v>188</v>
      </c>
      <c r="W47" s="20">
        <v>1375</v>
      </c>
    </row>
    <row r="48" spans="1:23" ht="15" thickBot="1" x14ac:dyDescent="0.4">
      <c r="V48" s="20">
        <v>192</v>
      </c>
      <c r="W48" s="20">
        <v>1419</v>
      </c>
    </row>
    <row r="49" spans="22:23" ht="15" thickBot="1" x14ac:dyDescent="0.4">
      <c r="V49" s="20">
        <v>196</v>
      </c>
      <c r="W49" s="20">
        <v>1463</v>
      </c>
    </row>
    <row r="50" spans="22:23" ht="15" thickBot="1" x14ac:dyDescent="0.4">
      <c r="V50" s="20">
        <v>200</v>
      </c>
      <c r="W50" s="20">
        <v>1507</v>
      </c>
    </row>
    <row r="51" spans="22:23" ht="15" thickBot="1" x14ac:dyDescent="0.4">
      <c r="V51" s="20">
        <v>204</v>
      </c>
      <c r="W51" s="20">
        <v>1552</v>
      </c>
    </row>
    <row r="52" spans="22:23" ht="15" thickBot="1" x14ac:dyDescent="0.4">
      <c r="V52" s="20">
        <v>208</v>
      </c>
      <c r="W52" s="20">
        <v>1597</v>
      </c>
    </row>
    <row r="53" spans="22:23" ht="15" thickBot="1" x14ac:dyDescent="0.4">
      <c r="V53" s="20">
        <v>212</v>
      </c>
      <c r="W53" s="20">
        <v>1643</v>
      </c>
    </row>
    <row r="54" spans="22:23" ht="15" thickBot="1" x14ac:dyDescent="0.4">
      <c r="V54" s="20">
        <v>216</v>
      </c>
      <c r="W54" s="20">
        <v>1689</v>
      </c>
    </row>
    <row r="55" spans="22:23" ht="15" thickBot="1" x14ac:dyDescent="0.4">
      <c r="V55" s="20">
        <v>220</v>
      </c>
      <c r="W55" s="20">
        <v>1735</v>
      </c>
    </row>
    <row r="56" spans="22:23" ht="15" thickBot="1" x14ac:dyDescent="0.4">
      <c r="V56" s="20">
        <v>224</v>
      </c>
      <c r="W56" s="20">
        <v>1782</v>
      </c>
    </row>
    <row r="57" spans="22:23" ht="15" thickBot="1" x14ac:dyDescent="0.4">
      <c r="V57" s="20">
        <v>228</v>
      </c>
      <c r="W57" s="20">
        <v>1829</v>
      </c>
    </row>
    <row r="58" spans="22:23" ht="15" thickBot="1" x14ac:dyDescent="0.4">
      <c r="V58" s="20">
        <v>232</v>
      </c>
      <c r="W58" s="20">
        <v>1877</v>
      </c>
    </row>
    <row r="59" spans="22:23" ht="15" thickBot="1" x14ac:dyDescent="0.4">
      <c r="V59" s="20">
        <v>236</v>
      </c>
      <c r="W59" s="20">
        <v>1924</v>
      </c>
    </row>
    <row r="60" spans="22:23" ht="15" thickBot="1" x14ac:dyDescent="0.4">
      <c r="V60" s="20">
        <v>240</v>
      </c>
      <c r="W60" s="20">
        <v>1973</v>
      </c>
    </row>
    <row r="61" spans="22:23" ht="15" thickBot="1" x14ac:dyDescent="0.4">
      <c r="V61" s="20">
        <v>244</v>
      </c>
      <c r="W61" s="20">
        <v>2021</v>
      </c>
    </row>
    <row r="62" spans="22:23" ht="15" thickBot="1" x14ac:dyDescent="0.4">
      <c r="V62" s="20">
        <v>248</v>
      </c>
      <c r="W62" s="20">
        <v>2070</v>
      </c>
    </row>
    <row r="63" spans="22:23" ht="15" thickBot="1" x14ac:dyDescent="0.4">
      <c r="V63" s="20">
        <v>252</v>
      </c>
      <c r="W63" s="20">
        <v>2120</v>
      </c>
    </row>
    <row r="64" spans="22:23" ht="15" thickBot="1" x14ac:dyDescent="0.4">
      <c r="V64" s="20">
        <v>256</v>
      </c>
      <c r="W64" s="20">
        <v>2170</v>
      </c>
    </row>
    <row r="65" spans="22:23" ht="15" thickBot="1" x14ac:dyDescent="0.4">
      <c r="V65" s="20">
        <v>260</v>
      </c>
      <c r="W65" s="20">
        <v>2220</v>
      </c>
    </row>
    <row r="66" spans="22:23" ht="15" thickBot="1" x14ac:dyDescent="0.4">
      <c r="V66" s="20">
        <v>264</v>
      </c>
      <c r="W66" s="20">
        <v>2270</v>
      </c>
    </row>
    <row r="67" spans="22:23" ht="15" thickBot="1" x14ac:dyDescent="0.4">
      <c r="V67" s="20">
        <v>268</v>
      </c>
      <c r="W67" s="20">
        <v>2321</v>
      </c>
    </row>
    <row r="68" spans="22:23" ht="15" thickBot="1" x14ac:dyDescent="0.4">
      <c r="V68" s="20">
        <v>272</v>
      </c>
      <c r="W68" s="20">
        <v>2372</v>
      </c>
    </row>
    <row r="69" spans="22:23" ht="15" thickBot="1" x14ac:dyDescent="0.4">
      <c r="V69" s="20">
        <v>276</v>
      </c>
      <c r="W69" s="20">
        <v>2424</v>
      </c>
    </row>
    <row r="70" spans="22:23" ht="15" thickBot="1" x14ac:dyDescent="0.4">
      <c r="V70" s="20">
        <v>280</v>
      </c>
      <c r="W70" s="20">
        <v>2475</v>
      </c>
    </row>
    <row r="71" spans="22:23" ht="15" thickBot="1" x14ac:dyDescent="0.4">
      <c r="V71" s="20">
        <v>284</v>
      </c>
      <c r="W71" s="20">
        <v>2528</v>
      </c>
    </row>
    <row r="72" spans="22:23" ht="15" thickBot="1" x14ac:dyDescent="0.4">
      <c r="V72" s="20">
        <v>288</v>
      </c>
      <c r="W72" s="20">
        <v>2580</v>
      </c>
    </row>
    <row r="73" spans="22:23" ht="15" thickBot="1" x14ac:dyDescent="0.4">
      <c r="V73" s="20">
        <v>292</v>
      </c>
      <c r="W73" s="20">
        <v>2633</v>
      </c>
    </row>
    <row r="74" spans="22:23" ht="15" thickBot="1" x14ac:dyDescent="0.4">
      <c r="V74" s="20">
        <v>296</v>
      </c>
      <c r="W74" s="20">
        <v>2686</v>
      </c>
    </row>
    <row r="75" spans="22:23" ht="15" thickBot="1" x14ac:dyDescent="0.4">
      <c r="V75" s="20">
        <v>300</v>
      </c>
      <c r="W75" s="20">
        <v>2739</v>
      </c>
    </row>
    <row r="76" spans="22:23" ht="15" thickBot="1" x14ac:dyDescent="0.4">
      <c r="V76" s="20">
        <v>304</v>
      </c>
      <c r="W76" s="20">
        <v>2793</v>
      </c>
    </row>
    <row r="77" spans="22:23" ht="15" thickBot="1" x14ac:dyDescent="0.4">
      <c r="V77" s="20">
        <v>308</v>
      </c>
      <c r="W77" s="20">
        <v>2847</v>
      </c>
    </row>
    <row r="78" spans="22:23" ht="15" thickBot="1" x14ac:dyDescent="0.4">
      <c r="V78" s="20">
        <v>312</v>
      </c>
      <c r="W78" s="20">
        <v>2901</v>
      </c>
    </row>
    <row r="79" spans="22:23" ht="15" thickBot="1" x14ac:dyDescent="0.4">
      <c r="V79" s="20">
        <v>316</v>
      </c>
      <c r="W79" s="20">
        <v>2956</v>
      </c>
    </row>
    <row r="80" spans="22:23" ht="15" thickBot="1" x14ac:dyDescent="0.4">
      <c r="V80" s="20">
        <v>320</v>
      </c>
      <c r="W80" s="20">
        <v>3011</v>
      </c>
    </row>
    <row r="81" spans="22:23" ht="15" thickBot="1" x14ac:dyDescent="0.4">
      <c r="V81" s="20">
        <v>324</v>
      </c>
      <c r="W81" s="20">
        <v>3066</v>
      </c>
    </row>
    <row r="82" spans="22:23" ht="15" thickBot="1" x14ac:dyDescent="0.4">
      <c r="V82" s="20">
        <v>328</v>
      </c>
      <c r="W82" s="20">
        <v>3122</v>
      </c>
    </row>
    <row r="83" spans="22:23" ht="15" thickBot="1" x14ac:dyDescent="0.4">
      <c r="V83" s="20">
        <v>332</v>
      </c>
      <c r="W83" s="20">
        <v>3178</v>
      </c>
    </row>
    <row r="84" spans="22:23" ht="15" thickBot="1" x14ac:dyDescent="0.4">
      <c r="V84" s="20">
        <v>336</v>
      </c>
      <c r="W84" s="20">
        <v>3234</v>
      </c>
    </row>
    <row r="85" spans="22:23" ht="15" thickBot="1" x14ac:dyDescent="0.4">
      <c r="V85" s="20">
        <v>340</v>
      </c>
      <c r="W85" s="20">
        <v>3291</v>
      </c>
    </row>
    <row r="86" spans="22:23" ht="15" thickBot="1" x14ac:dyDescent="0.4">
      <c r="V86" s="20">
        <v>344</v>
      </c>
      <c r="W86" s="20">
        <v>3347</v>
      </c>
    </row>
    <row r="87" spans="22:23" ht="15" thickBot="1" x14ac:dyDescent="0.4">
      <c r="V87" s="20">
        <v>348</v>
      </c>
      <c r="W87" s="20">
        <v>3404</v>
      </c>
    </row>
    <row r="88" spans="22:23" ht="15" thickBot="1" x14ac:dyDescent="0.4">
      <c r="V88" s="20">
        <v>352</v>
      </c>
      <c r="W88" s="20">
        <v>3462</v>
      </c>
    </row>
    <row r="89" spans="22:23" ht="15" thickBot="1" x14ac:dyDescent="0.4">
      <c r="V89" s="20">
        <v>356</v>
      </c>
      <c r="W89" s="20">
        <v>3519</v>
      </c>
    </row>
    <row r="90" spans="22:23" ht="15" thickBot="1" x14ac:dyDescent="0.4">
      <c r="V90" s="20">
        <v>360</v>
      </c>
      <c r="W90" s="20">
        <v>3577</v>
      </c>
    </row>
    <row r="91" spans="22:23" ht="15" thickBot="1" x14ac:dyDescent="0.4">
      <c r="V91" s="20">
        <v>364</v>
      </c>
      <c r="W91" s="20">
        <v>3635</v>
      </c>
    </row>
    <row r="92" spans="22:23" ht="15" thickBot="1" x14ac:dyDescent="0.4">
      <c r="V92" s="20">
        <v>368</v>
      </c>
      <c r="W92" s="20">
        <v>3694</v>
      </c>
    </row>
    <row r="93" spans="22:23" ht="15" thickBot="1" x14ac:dyDescent="0.4">
      <c r="V93" s="20">
        <v>372</v>
      </c>
      <c r="W93" s="20">
        <v>3752</v>
      </c>
    </row>
    <row r="94" spans="22:23" ht="15" thickBot="1" x14ac:dyDescent="0.4">
      <c r="V94" s="20">
        <v>376</v>
      </c>
      <c r="W94" s="20">
        <v>3811</v>
      </c>
    </row>
    <row r="95" spans="22:23" ht="15" thickBot="1" x14ac:dyDescent="0.4">
      <c r="V95" s="20">
        <v>380</v>
      </c>
      <c r="W95" s="20">
        <v>3870</v>
      </c>
    </row>
    <row r="96" spans="22:23" ht="15" thickBot="1" x14ac:dyDescent="0.4">
      <c r="V96" s="20">
        <v>384</v>
      </c>
      <c r="W96" s="20">
        <v>3930</v>
      </c>
    </row>
    <row r="97" spans="22:23" ht="15" thickBot="1" x14ac:dyDescent="0.4">
      <c r="V97" s="20">
        <v>388</v>
      </c>
      <c r="W97" s="20">
        <v>3990</v>
      </c>
    </row>
    <row r="98" spans="22:23" ht="15" thickBot="1" x14ac:dyDescent="0.4">
      <c r="V98" s="20">
        <v>392</v>
      </c>
      <c r="W98" s="20">
        <v>4050</v>
      </c>
    </row>
    <row r="99" spans="22:23" ht="15" thickBot="1" x14ac:dyDescent="0.4">
      <c r="V99" s="20">
        <v>396</v>
      </c>
      <c r="W99" s="20">
        <v>4110</v>
      </c>
    </row>
    <row r="100" spans="22:23" ht="15" thickBot="1" x14ac:dyDescent="0.4">
      <c r="V100" s="20">
        <v>400</v>
      </c>
      <c r="W100" s="20">
        <v>4171</v>
      </c>
    </row>
    <row r="101" spans="22:23" ht="15" thickBot="1" x14ac:dyDescent="0.4">
      <c r="V101" s="20">
        <v>404</v>
      </c>
      <c r="W101" s="20">
        <v>4231</v>
      </c>
    </row>
    <row r="102" spans="22:23" ht="15" thickBot="1" x14ac:dyDescent="0.4">
      <c r="V102" s="20">
        <v>408</v>
      </c>
      <c r="W102" s="20">
        <v>4292</v>
      </c>
    </row>
    <row r="103" spans="22:23" ht="15" thickBot="1" x14ac:dyDescent="0.4">
      <c r="V103" s="20">
        <v>412</v>
      </c>
      <c r="W103" s="20">
        <v>4354</v>
      </c>
    </row>
    <row r="104" spans="22:23" ht="15" thickBot="1" x14ac:dyDescent="0.4">
      <c r="V104" s="20">
        <v>416</v>
      </c>
      <c r="W104" s="20">
        <v>4415</v>
      </c>
    </row>
    <row r="105" spans="22:23" ht="15" thickBot="1" x14ac:dyDescent="0.4">
      <c r="V105" s="20">
        <v>420</v>
      </c>
      <c r="W105" s="20">
        <v>4477</v>
      </c>
    </row>
    <row r="106" spans="22:23" ht="15" thickBot="1" x14ac:dyDescent="0.4">
      <c r="V106" s="20">
        <v>424</v>
      </c>
      <c r="W106" s="20">
        <v>4539</v>
      </c>
    </row>
    <row r="107" spans="22:23" ht="15" thickBot="1" x14ac:dyDescent="0.4">
      <c r="V107" s="20">
        <v>428</v>
      </c>
      <c r="W107" s="20">
        <v>4601</v>
      </c>
    </row>
    <row r="108" spans="22:23" ht="15" thickBot="1" x14ac:dyDescent="0.4">
      <c r="V108" s="20">
        <v>432</v>
      </c>
      <c r="W108" s="20">
        <v>4664</v>
      </c>
    </row>
    <row r="109" spans="22:23" ht="15" thickBot="1" x14ac:dyDescent="0.4">
      <c r="V109" s="20">
        <v>436</v>
      </c>
      <c r="W109" s="20">
        <v>4726</v>
      </c>
    </row>
    <row r="110" spans="22:23" ht="15" thickBot="1" x14ac:dyDescent="0.4">
      <c r="V110" s="20">
        <v>440</v>
      </c>
      <c r="W110" s="20">
        <v>4789</v>
      </c>
    </row>
    <row r="111" spans="22:23" ht="15" thickBot="1" x14ac:dyDescent="0.4">
      <c r="V111" s="20">
        <v>444</v>
      </c>
      <c r="W111" s="20">
        <v>4853</v>
      </c>
    </row>
    <row r="112" spans="22:23" ht="15" thickBot="1" x14ac:dyDescent="0.4">
      <c r="V112" s="20">
        <v>448</v>
      </c>
      <c r="W112" s="20">
        <v>4916</v>
      </c>
    </row>
    <row r="113" spans="22:23" ht="15" thickBot="1" x14ac:dyDescent="0.4">
      <c r="V113" s="20">
        <v>452</v>
      </c>
      <c r="W113" s="20">
        <v>4980</v>
      </c>
    </row>
    <row r="114" spans="22:23" ht="15" thickBot="1" x14ac:dyDescent="0.4">
      <c r="V114" s="20">
        <v>456</v>
      </c>
      <c r="W114" s="20">
        <v>5044</v>
      </c>
    </row>
    <row r="115" spans="22:23" ht="15" thickBot="1" x14ac:dyDescent="0.4">
      <c r="V115" s="20">
        <v>460</v>
      </c>
      <c r="W115" s="20">
        <v>5108</v>
      </c>
    </row>
    <row r="116" spans="22:23" ht="15" thickBot="1" x14ac:dyDescent="0.4">
      <c r="V116" s="20">
        <v>464</v>
      </c>
      <c r="W116" s="20">
        <v>5172</v>
      </c>
    </row>
    <row r="117" spans="22:23" ht="15" thickBot="1" x14ac:dyDescent="0.4">
      <c r="V117" s="20">
        <v>468</v>
      </c>
      <c r="W117" s="20">
        <v>5237</v>
      </c>
    </row>
    <row r="118" spans="22:23" ht="15" thickBot="1" x14ac:dyDescent="0.4">
      <c r="V118" s="20">
        <v>472</v>
      </c>
      <c r="W118" s="20">
        <v>5301</v>
      </c>
    </row>
    <row r="119" spans="22:23" ht="15" thickBot="1" x14ac:dyDescent="0.4">
      <c r="V119" s="20">
        <v>476</v>
      </c>
      <c r="W119" s="20">
        <v>5366</v>
      </c>
    </row>
    <row r="120" spans="22:23" ht="15" thickBot="1" x14ac:dyDescent="0.4">
      <c r="V120" s="20">
        <v>480</v>
      </c>
      <c r="W120" s="20">
        <v>5432</v>
      </c>
    </row>
    <row r="121" spans="22:23" ht="15" thickBot="1" x14ac:dyDescent="0.4">
      <c r="V121" s="20">
        <v>484</v>
      </c>
      <c r="W121" s="20">
        <v>5497</v>
      </c>
    </row>
    <row r="122" spans="22:23" ht="15" thickBot="1" x14ac:dyDescent="0.4">
      <c r="V122" s="20">
        <v>488</v>
      </c>
      <c r="W122" s="20">
        <v>5563</v>
      </c>
    </row>
    <row r="123" spans="22:23" ht="15" thickBot="1" x14ac:dyDescent="0.4">
      <c r="V123" s="20">
        <v>492</v>
      </c>
      <c r="W123" s="20">
        <v>5628</v>
      </c>
    </row>
    <row r="124" spans="22:23" ht="15" thickBot="1" x14ac:dyDescent="0.4">
      <c r="V124" s="20">
        <v>496</v>
      </c>
      <c r="W124" s="20">
        <v>5695</v>
      </c>
    </row>
    <row r="125" spans="22:23" ht="15" thickBot="1" x14ac:dyDescent="0.4">
      <c r="V125" s="20">
        <v>500</v>
      </c>
      <c r="W125" s="20">
        <v>5761</v>
      </c>
    </row>
    <row r="126" spans="22:23" ht="15" thickBot="1" x14ac:dyDescent="0.4">
      <c r="V126" s="20">
        <v>504</v>
      </c>
      <c r="W126" s="20">
        <v>5827</v>
      </c>
    </row>
    <row r="127" spans="22:23" ht="15" thickBot="1" x14ac:dyDescent="0.4">
      <c r="V127" s="20">
        <v>508</v>
      </c>
      <c r="W127" s="20">
        <v>5894</v>
      </c>
    </row>
    <row r="128" spans="22:23" ht="15" thickBot="1" x14ac:dyDescent="0.4">
      <c r="V128" s="20">
        <v>512</v>
      </c>
      <c r="W128" s="20">
        <v>5961</v>
      </c>
    </row>
    <row r="129" spans="22:23" ht="15" thickBot="1" x14ac:dyDescent="0.4">
      <c r="V129" s="20">
        <v>516</v>
      </c>
      <c r="W129" s="20">
        <v>6028</v>
      </c>
    </row>
    <row r="130" spans="22:23" ht="15" thickBot="1" x14ac:dyDescent="0.4">
      <c r="V130" s="20">
        <v>520</v>
      </c>
      <c r="W130" s="20">
        <v>6095</v>
      </c>
    </row>
    <row r="131" spans="22:23" ht="15" thickBot="1" x14ac:dyDescent="0.4">
      <c r="V131" s="20">
        <v>524</v>
      </c>
      <c r="W131" s="20">
        <v>6163</v>
      </c>
    </row>
    <row r="132" spans="22:23" ht="15" thickBot="1" x14ac:dyDescent="0.4">
      <c r="V132" s="20">
        <v>528</v>
      </c>
      <c r="W132" s="20">
        <v>6231</v>
      </c>
    </row>
    <row r="133" spans="22:23" ht="15" thickBot="1" x14ac:dyDescent="0.4">
      <c r="V133" s="20">
        <v>532</v>
      </c>
      <c r="W133" s="20">
        <v>6298</v>
      </c>
    </row>
    <row r="134" spans="22:23" ht="15" thickBot="1" x14ac:dyDescent="0.4">
      <c r="V134" s="20">
        <v>536</v>
      </c>
      <c r="W134" s="20">
        <v>6367</v>
      </c>
    </row>
    <row r="135" spans="22:23" ht="15" thickBot="1" x14ac:dyDescent="0.4">
      <c r="V135" s="20">
        <v>540</v>
      </c>
      <c r="W135" s="20">
        <v>6435</v>
      </c>
    </row>
    <row r="136" spans="22:23" ht="15" thickBot="1" x14ac:dyDescent="0.4">
      <c r="V136" s="20">
        <v>544</v>
      </c>
      <c r="W136" s="20">
        <v>6503</v>
      </c>
    </row>
    <row r="137" spans="22:23" ht="15" thickBot="1" x14ac:dyDescent="0.4">
      <c r="V137" s="20">
        <v>548</v>
      </c>
      <c r="W137" s="20">
        <v>6572</v>
      </c>
    </row>
    <row r="138" spans="22:23" ht="15" thickBot="1" x14ac:dyDescent="0.4">
      <c r="V138" s="20">
        <v>552</v>
      </c>
      <c r="W138" s="20">
        <v>6641</v>
      </c>
    </row>
    <row r="139" spans="22:23" ht="15" thickBot="1" x14ac:dyDescent="0.4">
      <c r="V139" s="20">
        <v>556</v>
      </c>
      <c r="W139" s="20">
        <v>6710</v>
      </c>
    </row>
    <row r="140" spans="22:23" ht="15" thickBot="1" x14ac:dyDescent="0.4">
      <c r="V140" s="20">
        <v>560</v>
      </c>
      <c r="W140" s="20">
        <v>6779</v>
      </c>
    </row>
    <row r="141" spans="22:23" ht="15" thickBot="1" x14ac:dyDescent="0.4">
      <c r="V141" s="20">
        <v>564</v>
      </c>
      <c r="W141" s="20">
        <v>6849</v>
      </c>
    </row>
    <row r="142" spans="22:23" ht="15" thickBot="1" x14ac:dyDescent="0.4">
      <c r="V142" s="20">
        <v>568</v>
      </c>
      <c r="W142" s="20">
        <v>6918</v>
      </c>
    </row>
    <row r="143" spans="22:23" ht="15" thickBot="1" x14ac:dyDescent="0.4">
      <c r="V143" s="20">
        <v>572</v>
      </c>
      <c r="W143" s="20">
        <v>6988</v>
      </c>
    </row>
    <row r="144" spans="22:23" ht="15" thickBot="1" x14ac:dyDescent="0.4">
      <c r="V144" s="20">
        <v>576</v>
      </c>
      <c r="W144" s="20">
        <v>7058</v>
      </c>
    </row>
    <row r="145" spans="22:23" ht="15" thickBot="1" x14ac:dyDescent="0.4">
      <c r="V145" s="20">
        <v>580</v>
      </c>
      <c r="W145" s="20">
        <v>7128</v>
      </c>
    </row>
    <row r="146" spans="22:23" ht="15" thickBot="1" x14ac:dyDescent="0.4">
      <c r="V146" s="20">
        <v>584</v>
      </c>
      <c r="W146" s="20">
        <v>7198</v>
      </c>
    </row>
    <row r="147" spans="22:23" ht="15" thickBot="1" x14ac:dyDescent="0.4">
      <c r="V147" s="20">
        <v>588</v>
      </c>
      <c r="W147" s="20">
        <v>7269</v>
      </c>
    </row>
    <row r="148" spans="22:23" ht="15" thickBot="1" x14ac:dyDescent="0.4">
      <c r="V148" s="20">
        <v>592</v>
      </c>
      <c r="W148" s="20">
        <v>7340</v>
      </c>
    </row>
    <row r="149" spans="22:23" ht="15" thickBot="1" x14ac:dyDescent="0.4">
      <c r="V149" s="20">
        <v>596</v>
      </c>
      <c r="W149" s="20">
        <v>7410</v>
      </c>
    </row>
    <row r="150" spans="22:23" ht="15" thickBot="1" x14ac:dyDescent="0.4">
      <c r="V150" s="20">
        <v>600</v>
      </c>
      <c r="W150" s="20">
        <v>7482</v>
      </c>
    </row>
    <row r="151" spans="22:23" ht="15" thickBot="1" x14ac:dyDescent="0.4">
      <c r="V151" s="20">
        <v>604</v>
      </c>
      <c r="W151" s="20">
        <v>7553</v>
      </c>
    </row>
    <row r="152" spans="22:23" ht="15" thickBot="1" x14ac:dyDescent="0.4">
      <c r="V152" s="20">
        <v>608</v>
      </c>
      <c r="W152" s="20">
        <v>7624</v>
      </c>
    </row>
    <row r="153" spans="22:23" ht="15" thickBot="1" x14ac:dyDescent="0.4">
      <c r="V153" s="20">
        <v>612</v>
      </c>
      <c r="W153" s="20">
        <v>7696</v>
      </c>
    </row>
    <row r="154" spans="22:23" ht="15" thickBot="1" x14ac:dyDescent="0.4">
      <c r="V154" s="20">
        <v>616</v>
      </c>
      <c r="W154" s="20">
        <v>7767</v>
      </c>
    </row>
    <row r="155" spans="22:23" ht="15" thickBot="1" x14ac:dyDescent="0.4">
      <c r="V155" s="20">
        <v>620</v>
      </c>
      <c r="W155" s="20">
        <v>7839</v>
      </c>
    </row>
    <row r="156" spans="22:23" ht="15" thickBot="1" x14ac:dyDescent="0.4">
      <c r="V156" s="20">
        <v>624</v>
      </c>
      <c r="W156" s="20">
        <v>7911</v>
      </c>
    </row>
    <row r="157" spans="22:23" ht="15" thickBot="1" x14ac:dyDescent="0.4">
      <c r="V157" s="20">
        <v>628</v>
      </c>
      <c r="W157" s="20">
        <v>7983</v>
      </c>
    </row>
    <row r="158" spans="22:23" ht="15" thickBot="1" x14ac:dyDescent="0.4">
      <c r="V158" s="20">
        <v>632</v>
      </c>
      <c r="W158" s="20">
        <v>8056</v>
      </c>
    </row>
    <row r="159" spans="22:23" ht="15" thickBot="1" x14ac:dyDescent="0.4">
      <c r="V159" s="20">
        <v>636</v>
      </c>
      <c r="W159" s="20">
        <v>8128</v>
      </c>
    </row>
    <row r="160" spans="22:23" ht="15" thickBot="1" x14ac:dyDescent="0.4">
      <c r="V160" s="20">
        <v>640</v>
      </c>
      <c r="W160" s="20">
        <v>8201</v>
      </c>
    </row>
    <row r="161" spans="22:23" ht="15" thickBot="1" x14ac:dyDescent="0.4">
      <c r="V161" s="20">
        <v>644</v>
      </c>
      <c r="W161" s="20">
        <v>8274</v>
      </c>
    </row>
    <row r="162" spans="22:23" ht="15" thickBot="1" x14ac:dyDescent="0.4">
      <c r="V162" s="20">
        <v>648</v>
      </c>
      <c r="W162" s="20">
        <v>8347</v>
      </c>
    </row>
    <row r="163" spans="22:23" ht="15" thickBot="1" x14ac:dyDescent="0.4">
      <c r="V163" s="20">
        <v>652</v>
      </c>
      <c r="W163" s="20">
        <v>8420</v>
      </c>
    </row>
    <row r="164" spans="22:23" ht="15" thickBot="1" x14ac:dyDescent="0.4">
      <c r="V164" s="20">
        <v>656</v>
      </c>
      <c r="W164" s="20">
        <v>8493</v>
      </c>
    </row>
    <row r="165" spans="22:23" ht="15" thickBot="1" x14ac:dyDescent="0.4">
      <c r="V165" s="20">
        <v>660</v>
      </c>
      <c r="W165" s="20">
        <v>8567</v>
      </c>
    </row>
    <row r="166" spans="22:23" ht="15" thickBot="1" x14ac:dyDescent="0.4">
      <c r="V166" s="20">
        <v>664</v>
      </c>
      <c r="W166" s="20">
        <v>8641</v>
      </c>
    </row>
    <row r="167" spans="22:23" ht="15" thickBot="1" x14ac:dyDescent="0.4">
      <c r="V167" s="20">
        <v>668</v>
      </c>
      <c r="W167" s="20">
        <v>8714</v>
      </c>
    </row>
    <row r="168" spans="22:23" ht="15" thickBot="1" x14ac:dyDescent="0.4">
      <c r="V168" s="20">
        <v>672</v>
      </c>
      <c r="W168" s="20">
        <v>8788</v>
      </c>
    </row>
    <row r="169" spans="22:23" ht="15" thickBot="1" x14ac:dyDescent="0.4">
      <c r="V169" s="20">
        <v>676</v>
      </c>
      <c r="W169" s="20">
        <v>8862</v>
      </c>
    </row>
    <row r="170" spans="22:23" ht="15" thickBot="1" x14ac:dyDescent="0.4">
      <c r="V170" s="20">
        <v>680</v>
      </c>
      <c r="W170" s="20">
        <v>8937</v>
      </c>
    </row>
    <row r="171" spans="22:23" ht="15" thickBot="1" x14ac:dyDescent="0.4">
      <c r="V171" s="20">
        <v>684</v>
      </c>
      <c r="W171" s="20">
        <v>9011</v>
      </c>
    </row>
    <row r="172" spans="22:23" ht="15" thickBot="1" x14ac:dyDescent="0.4">
      <c r="V172" s="20">
        <v>688</v>
      </c>
      <c r="W172" s="20">
        <v>9085</v>
      </c>
    </row>
    <row r="173" spans="22:23" ht="15" thickBot="1" x14ac:dyDescent="0.4">
      <c r="V173" s="20">
        <v>692</v>
      </c>
      <c r="W173" s="20">
        <v>9160</v>
      </c>
    </row>
    <row r="174" spans="22:23" ht="15" thickBot="1" x14ac:dyDescent="0.4">
      <c r="V174" s="20">
        <v>696</v>
      </c>
      <c r="W174" s="20">
        <v>9235</v>
      </c>
    </row>
    <row r="175" spans="22:23" ht="15" thickBot="1" x14ac:dyDescent="0.4">
      <c r="V175" s="20">
        <v>700</v>
      </c>
      <c r="W175" s="20">
        <v>9310</v>
      </c>
    </row>
    <row r="176" spans="22:23" ht="15" thickBot="1" x14ac:dyDescent="0.4">
      <c r="V176" s="20">
        <v>704</v>
      </c>
      <c r="W176" s="20">
        <v>9385</v>
      </c>
    </row>
    <row r="177" spans="22:23" ht="15" thickBot="1" x14ac:dyDescent="0.4">
      <c r="V177" s="20">
        <v>708</v>
      </c>
      <c r="W177" s="20">
        <v>9460</v>
      </c>
    </row>
    <row r="178" spans="22:23" ht="15" thickBot="1" x14ac:dyDescent="0.4">
      <c r="V178" s="20">
        <v>712</v>
      </c>
      <c r="W178" s="20">
        <v>9536</v>
      </c>
    </row>
    <row r="179" spans="22:23" ht="15" thickBot="1" x14ac:dyDescent="0.4">
      <c r="V179" s="20">
        <v>716</v>
      </c>
      <c r="W179" s="20">
        <v>9611</v>
      </c>
    </row>
    <row r="180" spans="22:23" ht="15" thickBot="1" x14ac:dyDescent="0.4">
      <c r="V180" s="20">
        <v>720</v>
      </c>
      <c r="W180" s="20">
        <v>9687</v>
      </c>
    </row>
    <row r="181" spans="22:23" ht="15" thickBot="1" x14ac:dyDescent="0.4">
      <c r="V181" s="20">
        <v>724</v>
      </c>
      <c r="W181" s="20">
        <v>9763</v>
      </c>
    </row>
    <row r="182" spans="22:23" ht="15" thickBot="1" x14ac:dyDescent="0.4">
      <c r="V182" s="20">
        <v>728</v>
      </c>
      <c r="W182" s="20">
        <v>9839</v>
      </c>
    </row>
    <row r="183" spans="22:23" ht="15" thickBot="1" x14ac:dyDescent="0.4">
      <c r="V183" s="20">
        <v>732</v>
      </c>
      <c r="W183" s="20">
        <v>9915</v>
      </c>
    </row>
    <row r="184" spans="22:23" ht="15" thickBot="1" x14ac:dyDescent="0.4">
      <c r="V184" s="20">
        <v>736</v>
      </c>
      <c r="W184" s="20">
        <v>9991</v>
      </c>
    </row>
    <row r="185" spans="22:23" ht="15" thickBot="1" x14ac:dyDescent="0.4">
      <c r="V185" s="20">
        <v>740</v>
      </c>
      <c r="W185" s="20">
        <v>10067</v>
      </c>
    </row>
    <row r="186" spans="22:23" ht="15" thickBot="1" x14ac:dyDescent="0.4">
      <c r="V186" s="20">
        <v>744</v>
      </c>
      <c r="W186" s="20">
        <v>10144</v>
      </c>
    </row>
    <row r="187" spans="22:23" ht="15" thickBot="1" x14ac:dyDescent="0.4">
      <c r="V187" s="20">
        <v>748</v>
      </c>
      <c r="W187" s="20">
        <v>10220</v>
      </c>
    </row>
    <row r="188" spans="22:23" ht="15" thickBot="1" x14ac:dyDescent="0.4">
      <c r="V188" s="20">
        <v>752</v>
      </c>
      <c r="W188" s="20">
        <v>10297</v>
      </c>
    </row>
    <row r="189" spans="22:23" ht="15" thickBot="1" x14ac:dyDescent="0.4">
      <c r="V189" s="20">
        <v>756</v>
      </c>
      <c r="W189" s="20">
        <v>10374</v>
      </c>
    </row>
    <row r="190" spans="22:23" ht="15" thickBot="1" x14ac:dyDescent="0.4">
      <c r="V190" s="20">
        <v>760</v>
      </c>
      <c r="W190" s="20">
        <v>10451</v>
      </c>
    </row>
    <row r="191" spans="22:23" ht="15" thickBot="1" x14ac:dyDescent="0.4">
      <c r="V191" s="20">
        <v>764</v>
      </c>
      <c r="W191" s="20">
        <v>10528</v>
      </c>
    </row>
    <row r="192" spans="22:23" ht="15" thickBot="1" x14ac:dyDescent="0.4">
      <c r="V192" s="20">
        <v>768</v>
      </c>
      <c r="W192" s="20">
        <v>10605</v>
      </c>
    </row>
    <row r="193" spans="22:23" ht="15" thickBot="1" x14ac:dyDescent="0.4">
      <c r="V193" s="20">
        <v>772</v>
      </c>
      <c r="W193" s="20">
        <v>10682</v>
      </c>
    </row>
    <row r="194" spans="22:23" ht="15" thickBot="1" x14ac:dyDescent="0.4">
      <c r="V194" s="20">
        <v>776</v>
      </c>
      <c r="W194" s="20">
        <v>10760</v>
      </c>
    </row>
    <row r="195" spans="22:23" ht="15" thickBot="1" x14ac:dyDescent="0.4">
      <c r="V195" s="20">
        <v>780</v>
      </c>
      <c r="W195" s="20">
        <v>10837</v>
      </c>
    </row>
    <row r="196" spans="22:23" ht="15" thickBot="1" x14ac:dyDescent="0.4">
      <c r="V196" s="20">
        <v>784</v>
      </c>
      <c r="W196" s="20">
        <v>10915</v>
      </c>
    </row>
    <row r="197" spans="22:23" ht="15" thickBot="1" x14ac:dyDescent="0.4">
      <c r="V197" s="20">
        <v>788</v>
      </c>
      <c r="W197" s="20">
        <v>10993</v>
      </c>
    </row>
    <row r="198" spans="22:23" ht="15" thickBot="1" x14ac:dyDescent="0.4">
      <c r="V198" s="20">
        <v>792</v>
      </c>
      <c r="W198" s="20">
        <v>11074</v>
      </c>
    </row>
    <row r="199" spans="22:23" ht="15" thickBot="1" x14ac:dyDescent="0.4">
      <c r="V199" s="20">
        <v>796</v>
      </c>
      <c r="W199" s="20">
        <v>11149</v>
      </c>
    </row>
    <row r="200" spans="22:23" ht="15" thickBot="1" x14ac:dyDescent="0.4">
      <c r="V200" s="20">
        <v>800</v>
      </c>
      <c r="W200" s="20">
        <v>11227</v>
      </c>
    </row>
    <row r="201" spans="22:23" ht="15" thickBot="1" x14ac:dyDescent="0.4">
      <c r="V201" s="20">
        <v>804</v>
      </c>
      <c r="W201" s="20">
        <v>11305</v>
      </c>
    </row>
    <row r="202" spans="22:23" ht="15" thickBot="1" x14ac:dyDescent="0.4">
      <c r="V202" s="20">
        <v>808</v>
      </c>
      <c r="W202" s="20">
        <v>11384</v>
      </c>
    </row>
    <row r="203" spans="22:23" ht="15" thickBot="1" x14ac:dyDescent="0.4">
      <c r="V203" s="20">
        <v>812</v>
      </c>
      <c r="W203" s="20">
        <v>11462</v>
      </c>
    </row>
    <row r="204" spans="22:23" ht="15" thickBot="1" x14ac:dyDescent="0.4">
      <c r="V204" s="20">
        <v>816</v>
      </c>
      <c r="W204" s="20">
        <v>11541</v>
      </c>
    </row>
    <row r="205" spans="22:23" ht="15" thickBot="1" x14ac:dyDescent="0.4">
      <c r="V205" s="20">
        <v>820</v>
      </c>
      <c r="W205" s="20">
        <v>11620</v>
      </c>
    </row>
    <row r="206" spans="22:23" ht="15" thickBot="1" x14ac:dyDescent="0.4">
      <c r="V206" s="20">
        <v>824</v>
      </c>
      <c r="W206" s="20">
        <v>11699</v>
      </c>
    </row>
    <row r="207" spans="22:23" ht="15" thickBot="1" x14ac:dyDescent="0.4">
      <c r="V207" s="20">
        <v>828</v>
      </c>
      <c r="W207" s="20">
        <v>11778</v>
      </c>
    </row>
    <row r="208" spans="22:23" ht="15" thickBot="1" x14ac:dyDescent="0.4">
      <c r="V208" s="20">
        <v>832</v>
      </c>
      <c r="W208" s="20">
        <v>11857</v>
      </c>
    </row>
    <row r="209" spans="22:23" ht="15" thickBot="1" x14ac:dyDescent="0.4">
      <c r="V209" s="20">
        <v>836</v>
      </c>
      <c r="W209" s="20">
        <v>11936</v>
      </c>
    </row>
    <row r="210" spans="22:23" ht="15" thickBot="1" x14ac:dyDescent="0.4">
      <c r="V210" s="20">
        <v>840</v>
      </c>
      <c r="W210" s="20">
        <v>12015</v>
      </c>
    </row>
    <row r="211" spans="22:23" ht="15" thickBot="1" x14ac:dyDescent="0.4">
      <c r="V211" s="20">
        <v>844</v>
      </c>
      <c r="W211" s="20">
        <v>12095</v>
      </c>
    </row>
    <row r="212" spans="22:23" ht="15" thickBot="1" x14ac:dyDescent="0.4">
      <c r="V212" s="20">
        <v>848</v>
      </c>
      <c r="W212" s="20">
        <v>12174</v>
      </c>
    </row>
    <row r="213" spans="22:23" ht="15" thickBot="1" x14ac:dyDescent="0.4">
      <c r="V213" s="20">
        <v>852</v>
      </c>
      <c r="W213" s="20">
        <v>12254</v>
      </c>
    </row>
    <row r="214" spans="22:23" ht="15" thickBot="1" x14ac:dyDescent="0.4">
      <c r="V214" s="20">
        <v>856</v>
      </c>
      <c r="W214" s="20">
        <v>12333</v>
      </c>
    </row>
    <row r="215" spans="22:23" ht="15" thickBot="1" x14ac:dyDescent="0.4">
      <c r="V215" s="20">
        <v>860</v>
      </c>
      <c r="W215" s="20">
        <v>12413</v>
      </c>
    </row>
    <row r="216" spans="22:23" ht="15" thickBot="1" x14ac:dyDescent="0.4">
      <c r="V216" s="20">
        <v>864</v>
      </c>
      <c r="W216" s="20">
        <v>12493</v>
      </c>
    </row>
    <row r="217" spans="22:23" ht="15" thickBot="1" x14ac:dyDescent="0.4">
      <c r="V217" s="20">
        <v>868</v>
      </c>
      <c r="W217" s="20">
        <v>12573</v>
      </c>
    </row>
    <row r="218" spans="22:23" ht="15" thickBot="1" x14ac:dyDescent="0.4">
      <c r="V218" s="20">
        <v>872</v>
      </c>
      <c r="W218" s="20">
        <v>12653</v>
      </c>
    </row>
    <row r="219" spans="22:23" ht="15" thickBot="1" x14ac:dyDescent="0.4">
      <c r="V219" s="20">
        <v>876</v>
      </c>
      <c r="W219" s="20">
        <v>12733</v>
      </c>
    </row>
    <row r="220" spans="22:23" ht="15" thickBot="1" x14ac:dyDescent="0.4">
      <c r="V220" s="20">
        <v>880</v>
      </c>
      <c r="W220" s="20">
        <v>12814</v>
      </c>
    </row>
    <row r="221" spans="22:23" ht="15" thickBot="1" x14ac:dyDescent="0.4">
      <c r="V221" s="20">
        <v>884</v>
      </c>
      <c r="W221" s="20">
        <v>12894</v>
      </c>
    </row>
    <row r="222" spans="22:23" ht="15" thickBot="1" x14ac:dyDescent="0.4">
      <c r="V222" s="20">
        <v>888</v>
      </c>
      <c r="W222" s="20">
        <v>12975</v>
      </c>
    </row>
    <row r="223" spans="22:23" ht="15" thickBot="1" x14ac:dyDescent="0.4">
      <c r="V223" s="20">
        <v>892</v>
      </c>
      <c r="W223" s="20">
        <v>13055</v>
      </c>
    </row>
    <row r="224" spans="22:23" ht="15" thickBot="1" x14ac:dyDescent="0.4">
      <c r="V224" s="20">
        <v>896</v>
      </c>
      <c r="W224" s="20">
        <v>13136</v>
      </c>
    </row>
    <row r="225" spans="22:23" ht="15" thickBot="1" x14ac:dyDescent="0.4">
      <c r="V225" s="20">
        <v>900</v>
      </c>
      <c r="W225" s="20">
        <v>13217</v>
      </c>
    </row>
    <row r="226" spans="22:23" ht="15" thickBot="1" x14ac:dyDescent="0.4">
      <c r="V226" s="20">
        <v>904</v>
      </c>
      <c r="W226" s="20">
        <v>13298</v>
      </c>
    </row>
    <row r="227" spans="22:23" ht="15" thickBot="1" x14ac:dyDescent="0.4">
      <c r="V227" s="20">
        <v>908</v>
      </c>
      <c r="W227" s="20">
        <v>13379</v>
      </c>
    </row>
    <row r="228" spans="22:23" ht="15" thickBot="1" x14ac:dyDescent="0.4">
      <c r="V228" s="20">
        <v>912</v>
      </c>
      <c r="W228" s="20">
        <v>13460</v>
      </c>
    </row>
    <row r="229" spans="22:23" ht="15" thickBot="1" x14ac:dyDescent="0.4">
      <c r="V229" s="20">
        <v>916</v>
      </c>
      <c r="W229" s="20">
        <v>13541</v>
      </c>
    </row>
    <row r="230" spans="22:23" ht="15" thickBot="1" x14ac:dyDescent="0.4">
      <c r="V230" s="20">
        <v>920</v>
      </c>
      <c r="W230" s="20">
        <v>13622</v>
      </c>
    </row>
    <row r="231" spans="22:23" ht="15" thickBot="1" x14ac:dyDescent="0.4">
      <c r="V231" s="20">
        <v>924</v>
      </c>
      <c r="W231" s="20">
        <v>13703</v>
      </c>
    </row>
    <row r="232" spans="22:23" ht="15" thickBot="1" x14ac:dyDescent="0.4">
      <c r="V232" s="20">
        <v>928</v>
      </c>
      <c r="W232" s="20">
        <v>13785</v>
      </c>
    </row>
    <row r="233" spans="22:23" ht="15" thickBot="1" x14ac:dyDescent="0.4">
      <c r="V233" s="20">
        <v>932</v>
      </c>
      <c r="W233" s="20">
        <v>13866</v>
      </c>
    </row>
    <row r="234" spans="22:23" ht="15" thickBot="1" x14ac:dyDescent="0.4">
      <c r="V234" s="20">
        <v>936</v>
      </c>
      <c r="W234" s="20">
        <v>13948</v>
      </c>
    </row>
    <row r="235" spans="22:23" ht="15" thickBot="1" x14ac:dyDescent="0.4">
      <c r="V235" s="20">
        <v>940</v>
      </c>
      <c r="W235" s="20">
        <v>14030</v>
      </c>
    </row>
    <row r="236" spans="22:23" ht="15" thickBot="1" x14ac:dyDescent="0.4">
      <c r="V236" s="20">
        <v>944</v>
      </c>
      <c r="W236" s="20">
        <v>14111</v>
      </c>
    </row>
    <row r="237" spans="22:23" ht="15" thickBot="1" x14ac:dyDescent="0.4">
      <c r="V237" s="20">
        <v>948</v>
      </c>
      <c r="W237" s="20">
        <v>14193</v>
      </c>
    </row>
    <row r="238" spans="22:23" ht="15" thickBot="1" x14ac:dyDescent="0.4">
      <c r="V238" s="20">
        <v>952</v>
      </c>
      <c r="W238" s="20">
        <v>14275</v>
      </c>
    </row>
    <row r="239" spans="22:23" ht="15" thickBot="1" x14ac:dyDescent="0.4">
      <c r="V239" s="20">
        <v>956</v>
      </c>
      <c r="W239" s="20">
        <v>14357</v>
      </c>
    </row>
    <row r="240" spans="22:23" ht="15" thickBot="1" x14ac:dyDescent="0.4">
      <c r="V240" s="20">
        <v>960</v>
      </c>
      <c r="W240" s="20">
        <v>14439</v>
      </c>
    </row>
    <row r="241" spans="22:23" ht="15" thickBot="1" x14ac:dyDescent="0.4">
      <c r="V241" s="20">
        <v>964</v>
      </c>
      <c r="W241" s="20">
        <v>14521</v>
      </c>
    </row>
    <row r="242" spans="22:23" ht="15" thickBot="1" x14ac:dyDescent="0.4">
      <c r="V242" s="20">
        <v>968</v>
      </c>
      <c r="W242" s="20">
        <v>14603</v>
      </c>
    </row>
    <row r="243" spans="22:23" ht="15" thickBot="1" x14ac:dyDescent="0.4">
      <c r="V243" s="20">
        <v>972</v>
      </c>
      <c r="W243" s="20">
        <v>14686</v>
      </c>
    </row>
    <row r="244" spans="22:23" ht="15" thickBot="1" x14ac:dyDescent="0.4">
      <c r="V244" s="20">
        <v>976</v>
      </c>
      <c r="W244" s="20">
        <v>14768</v>
      </c>
    </row>
    <row r="245" spans="22:23" ht="15" thickBot="1" x14ac:dyDescent="0.4">
      <c r="V245" s="20">
        <v>980</v>
      </c>
      <c r="W245" s="20">
        <v>14851</v>
      </c>
    </row>
    <row r="246" spans="22:23" ht="15" thickBot="1" x14ac:dyDescent="0.4">
      <c r="V246" s="20">
        <v>984</v>
      </c>
      <c r="W246" s="20">
        <v>14933</v>
      </c>
    </row>
    <row r="247" spans="22:23" ht="15" thickBot="1" x14ac:dyDescent="0.4">
      <c r="V247" s="20">
        <v>988</v>
      </c>
      <c r="W247" s="20">
        <v>15016</v>
      </c>
    </row>
    <row r="248" spans="22:23" ht="15" thickBot="1" x14ac:dyDescent="0.4">
      <c r="V248" s="20">
        <v>992</v>
      </c>
      <c r="W248" s="20">
        <v>15098</v>
      </c>
    </row>
    <row r="249" spans="22:23" ht="15" thickBot="1" x14ac:dyDescent="0.4">
      <c r="V249" s="20">
        <v>996</v>
      </c>
      <c r="W249" s="20">
        <v>15181</v>
      </c>
    </row>
    <row r="250" spans="22:23" ht="15" thickBot="1" x14ac:dyDescent="0.4">
      <c r="V250" s="20">
        <v>1000</v>
      </c>
      <c r="W250" s="20">
        <v>15264</v>
      </c>
    </row>
    <row r="251" spans="22:23" ht="15" thickBot="1" x14ac:dyDescent="0.4">
      <c r="V251" s="20">
        <v>1004</v>
      </c>
      <c r="W251" s="20">
        <v>15347</v>
      </c>
    </row>
    <row r="252" spans="22:23" ht="15" thickBot="1" x14ac:dyDescent="0.4">
      <c r="V252" s="20">
        <v>1008</v>
      </c>
      <c r="W252" s="20">
        <v>15430</v>
      </c>
    </row>
    <row r="253" spans="22:23" ht="15" thickBot="1" x14ac:dyDescent="0.4">
      <c r="V253" s="20">
        <v>1012</v>
      </c>
      <c r="W253" s="20">
        <v>15513</v>
      </c>
    </row>
    <row r="254" spans="22:23" ht="15" thickBot="1" x14ac:dyDescent="0.4">
      <c r="V254" s="20">
        <v>1016</v>
      </c>
      <c r="W254" s="20">
        <v>15596</v>
      </c>
    </row>
    <row r="255" spans="22:23" ht="15" thickBot="1" x14ac:dyDescent="0.4">
      <c r="V255" s="20">
        <v>1020</v>
      </c>
      <c r="W255" s="20">
        <v>15679</v>
      </c>
    </row>
    <row r="256" spans="22:23" ht="15" thickBot="1" x14ac:dyDescent="0.4">
      <c r="V256" s="20">
        <v>1024</v>
      </c>
      <c r="W256" s="20">
        <v>15762</v>
      </c>
    </row>
    <row r="257" spans="22:23" ht="15" thickBot="1" x14ac:dyDescent="0.4">
      <c r="V257" s="20">
        <v>1028</v>
      </c>
      <c r="W257" s="20">
        <v>15846</v>
      </c>
    </row>
    <row r="258" spans="22:23" ht="15" thickBot="1" x14ac:dyDescent="0.4">
      <c r="V258" s="20">
        <v>1032</v>
      </c>
      <c r="W258" s="20">
        <v>15929</v>
      </c>
    </row>
    <row r="259" spans="22:23" ht="15" thickBot="1" x14ac:dyDescent="0.4">
      <c r="V259" s="20">
        <v>1036</v>
      </c>
      <c r="W259" s="20">
        <v>16013</v>
      </c>
    </row>
    <row r="260" spans="22:23" ht="15" thickBot="1" x14ac:dyDescent="0.4">
      <c r="V260" s="20">
        <v>1040</v>
      </c>
      <c r="W260" s="20">
        <v>16096</v>
      </c>
    </row>
    <row r="261" spans="22:23" ht="15" thickBot="1" x14ac:dyDescent="0.4">
      <c r="V261" s="20">
        <v>1044</v>
      </c>
      <c r="W261" s="20">
        <v>16180</v>
      </c>
    </row>
    <row r="262" spans="22:23" ht="15" thickBot="1" x14ac:dyDescent="0.4">
      <c r="V262" s="20">
        <v>1048</v>
      </c>
      <c r="W262" s="20">
        <v>16263</v>
      </c>
    </row>
    <row r="263" spans="22:23" ht="15" thickBot="1" x14ac:dyDescent="0.4">
      <c r="V263" s="20">
        <v>1052</v>
      </c>
      <c r="W263" s="20">
        <v>16347</v>
      </c>
    </row>
    <row r="264" spans="22:23" ht="15" thickBot="1" x14ac:dyDescent="0.4">
      <c r="V264" s="20">
        <v>1056</v>
      </c>
      <c r="W264" s="20">
        <v>16431</v>
      </c>
    </row>
    <row r="265" spans="22:23" ht="15" thickBot="1" x14ac:dyDescent="0.4">
      <c r="V265" s="20">
        <v>1060</v>
      </c>
      <c r="W265" s="20">
        <v>16514</v>
      </c>
    </row>
    <row r="266" spans="22:23" ht="15" thickBot="1" x14ac:dyDescent="0.4">
      <c r="V266" s="20">
        <v>1064</v>
      </c>
      <c r="W266" s="20">
        <v>16598</v>
      </c>
    </row>
    <row r="267" spans="22:23" ht="15" thickBot="1" x14ac:dyDescent="0.4">
      <c r="V267" s="20">
        <v>1068</v>
      </c>
      <c r="W267" s="20">
        <v>16682</v>
      </c>
    </row>
    <row r="268" spans="22:23" ht="15" thickBot="1" x14ac:dyDescent="0.4">
      <c r="V268" s="20">
        <v>1072</v>
      </c>
      <c r="W268" s="20">
        <v>16766</v>
      </c>
    </row>
    <row r="269" spans="22:23" ht="15" thickBot="1" x14ac:dyDescent="0.4">
      <c r="V269" s="20">
        <v>1076</v>
      </c>
      <c r="W269" s="20">
        <v>16850</v>
      </c>
    </row>
    <row r="270" spans="22:23" ht="15" thickBot="1" x14ac:dyDescent="0.4">
      <c r="V270" s="20">
        <v>1080</v>
      </c>
      <c r="W270" s="20">
        <v>16934</v>
      </c>
    </row>
    <row r="271" spans="22:23" ht="15" thickBot="1" x14ac:dyDescent="0.4">
      <c r="V271" s="20">
        <v>1084</v>
      </c>
      <c r="W271" s="20">
        <v>17018</v>
      </c>
    </row>
    <row r="272" spans="22:23" ht="15" thickBot="1" x14ac:dyDescent="0.4">
      <c r="V272" s="20">
        <v>1088</v>
      </c>
      <c r="W272" s="20">
        <v>17103</v>
      </c>
    </row>
    <row r="273" spans="22:23" ht="15" thickBot="1" x14ac:dyDescent="0.4">
      <c r="V273" s="20">
        <v>1092</v>
      </c>
      <c r="W273" s="20">
        <v>17187</v>
      </c>
    </row>
    <row r="274" spans="22:23" ht="15" thickBot="1" x14ac:dyDescent="0.4">
      <c r="V274" s="20">
        <v>1096</v>
      </c>
      <c r="W274" s="20">
        <v>17271</v>
      </c>
    </row>
    <row r="275" spans="22:23" ht="15" thickBot="1" x14ac:dyDescent="0.4">
      <c r="V275" s="20">
        <v>1100</v>
      </c>
      <c r="W275" s="20">
        <v>17356</v>
      </c>
    </row>
    <row r="276" spans="22:23" ht="15" thickBot="1" x14ac:dyDescent="0.4">
      <c r="V276" s="20">
        <v>1104</v>
      </c>
      <c r="W276" s="20">
        <v>17440</v>
      </c>
    </row>
    <row r="277" spans="22:23" ht="15" thickBot="1" x14ac:dyDescent="0.4">
      <c r="V277" s="20">
        <v>1108</v>
      </c>
      <c r="W277" s="20">
        <v>17524</v>
      </c>
    </row>
    <row r="278" spans="22:23" ht="15" thickBot="1" x14ac:dyDescent="0.4">
      <c r="V278" s="20">
        <v>1112</v>
      </c>
      <c r="W278" s="20">
        <v>17609</v>
      </c>
    </row>
    <row r="279" spans="22:23" ht="15" thickBot="1" x14ac:dyDescent="0.4">
      <c r="V279" s="20">
        <v>1116</v>
      </c>
      <c r="W279" s="20">
        <v>17693</v>
      </c>
    </row>
    <row r="280" spans="22:23" ht="15" thickBot="1" x14ac:dyDescent="0.4">
      <c r="V280" s="20">
        <v>1120</v>
      </c>
      <c r="W280" s="20">
        <v>17778</v>
      </c>
    </row>
    <row r="281" spans="22:23" ht="15" thickBot="1" x14ac:dyDescent="0.4">
      <c r="V281" s="20">
        <v>1124</v>
      </c>
      <c r="W281" s="20">
        <v>17863</v>
      </c>
    </row>
    <row r="282" spans="22:23" ht="15" thickBot="1" x14ac:dyDescent="0.4">
      <c r="V282" s="20">
        <v>1128</v>
      </c>
      <c r="W282" s="20">
        <v>17947</v>
      </c>
    </row>
    <row r="283" spans="22:23" ht="15" thickBot="1" x14ac:dyDescent="0.4">
      <c r="V283" s="20">
        <v>1132</v>
      </c>
      <c r="W283" s="20">
        <v>18032</v>
      </c>
    </row>
    <row r="284" spans="22:23" ht="15" thickBot="1" x14ac:dyDescent="0.4">
      <c r="V284" s="20">
        <v>1136</v>
      </c>
      <c r="W284" s="20">
        <v>18117</v>
      </c>
    </row>
    <row r="285" spans="22:23" ht="15" thickBot="1" x14ac:dyDescent="0.4">
      <c r="V285" s="20">
        <v>1140</v>
      </c>
      <c r="W285" s="20">
        <v>18202</v>
      </c>
    </row>
    <row r="286" spans="22:23" ht="15" thickBot="1" x14ac:dyDescent="0.4">
      <c r="V286" s="20">
        <v>1144</v>
      </c>
      <c r="W286" s="20">
        <v>18287</v>
      </c>
    </row>
    <row r="287" spans="22:23" ht="15" thickBot="1" x14ac:dyDescent="0.4">
      <c r="V287" s="20">
        <v>1148</v>
      </c>
      <c r="W287" s="20">
        <v>18371</v>
      </c>
    </row>
    <row r="288" spans="22:23" ht="15" thickBot="1" x14ac:dyDescent="0.4">
      <c r="V288" s="20">
        <v>1152</v>
      </c>
      <c r="W288" s="20">
        <v>18456</v>
      </c>
    </row>
    <row r="289" spans="22:23" ht="15" thickBot="1" x14ac:dyDescent="0.4">
      <c r="V289" s="20">
        <v>1156</v>
      </c>
      <c r="W289" s="20">
        <v>18541</v>
      </c>
    </row>
    <row r="290" spans="22:23" ht="15" thickBot="1" x14ac:dyDescent="0.4">
      <c r="V290" s="20">
        <v>1160</v>
      </c>
      <c r="W290" s="20">
        <v>18626</v>
      </c>
    </row>
    <row r="291" spans="22:23" ht="15" thickBot="1" x14ac:dyDescent="0.4">
      <c r="V291" s="20">
        <v>1164</v>
      </c>
      <c r="W291" s="20">
        <v>18711</v>
      </c>
    </row>
    <row r="292" spans="22:23" ht="15" thickBot="1" x14ac:dyDescent="0.4">
      <c r="V292" s="20">
        <v>1168</v>
      </c>
      <c r="W292" s="20">
        <v>18797</v>
      </c>
    </row>
    <row r="293" spans="22:23" ht="15" thickBot="1" x14ac:dyDescent="0.4">
      <c r="V293" s="20">
        <v>1172</v>
      </c>
      <c r="W293" s="20">
        <v>18882</v>
      </c>
    </row>
    <row r="294" spans="22:23" ht="15" thickBot="1" x14ac:dyDescent="0.4">
      <c r="V294" s="20">
        <v>1176</v>
      </c>
      <c r="W294" s="20">
        <v>18967</v>
      </c>
    </row>
    <row r="295" spans="22:23" ht="15" thickBot="1" x14ac:dyDescent="0.4">
      <c r="V295" s="20">
        <v>1180</v>
      </c>
      <c r="W295" s="20">
        <v>19052</v>
      </c>
    </row>
    <row r="296" spans="22:23" ht="15" thickBot="1" x14ac:dyDescent="0.4">
      <c r="V296" s="20">
        <v>1184</v>
      </c>
      <c r="W296" s="20">
        <v>19137</v>
      </c>
    </row>
    <row r="297" spans="22:23" ht="15" thickBot="1" x14ac:dyDescent="0.4">
      <c r="V297" s="20">
        <v>1188</v>
      </c>
      <c r="W297" s="20">
        <v>19223</v>
      </c>
    </row>
    <row r="298" spans="22:23" ht="15" thickBot="1" x14ac:dyDescent="0.4">
      <c r="V298" s="20">
        <v>1192</v>
      </c>
      <c r="W298" s="20">
        <v>19309</v>
      </c>
    </row>
    <row r="299" spans="22:23" ht="15" thickBot="1" x14ac:dyDescent="0.4">
      <c r="V299" s="20">
        <v>1196</v>
      </c>
      <c r="W299" s="20">
        <v>19393</v>
      </c>
    </row>
    <row r="300" spans="22:23" ht="15" thickBot="1" x14ac:dyDescent="0.4">
      <c r="V300" s="20">
        <v>1200</v>
      </c>
      <c r="W300" s="20">
        <v>19479</v>
      </c>
    </row>
    <row r="301" spans="22:23" ht="15" thickBot="1" x14ac:dyDescent="0.4">
      <c r="V301" s="20">
        <v>1204</v>
      </c>
      <c r="W301" s="20">
        <v>19564</v>
      </c>
    </row>
    <row r="302" spans="22:23" ht="15" thickBot="1" x14ac:dyDescent="0.4">
      <c r="V302" s="20">
        <v>1208</v>
      </c>
      <c r="W302" s="20">
        <v>19649</v>
      </c>
    </row>
    <row r="303" spans="22:23" ht="15" thickBot="1" x14ac:dyDescent="0.4">
      <c r="V303" s="20">
        <v>1212</v>
      </c>
      <c r="W303" s="20">
        <v>19735</v>
      </c>
    </row>
    <row r="304" spans="22:23" ht="15" thickBot="1" x14ac:dyDescent="0.4">
      <c r="V304" s="20">
        <v>1216</v>
      </c>
      <c r="W304" s="20">
        <v>19820</v>
      </c>
    </row>
    <row r="305" spans="22:23" ht="15" thickBot="1" x14ac:dyDescent="0.4">
      <c r="V305" s="20">
        <v>1220</v>
      </c>
      <c r="W305" s="20">
        <v>19906</v>
      </c>
    </row>
    <row r="306" spans="22:23" ht="15" thickBot="1" x14ac:dyDescent="0.4">
      <c r="V306" s="20">
        <v>1224</v>
      </c>
      <c r="W306" s="20">
        <v>19991</v>
      </c>
    </row>
    <row r="307" spans="22:23" ht="15" thickBot="1" x14ac:dyDescent="0.4">
      <c r="V307" s="20">
        <v>1228</v>
      </c>
      <c r="W307" s="20">
        <v>20077</v>
      </c>
    </row>
    <row r="308" spans="22:23" ht="15" thickBot="1" x14ac:dyDescent="0.4">
      <c r="V308" s="20">
        <v>1232</v>
      </c>
      <c r="W308" s="20">
        <v>20163</v>
      </c>
    </row>
    <row r="309" spans="22:23" ht="15" thickBot="1" x14ac:dyDescent="0.4">
      <c r="V309" s="20">
        <v>1236</v>
      </c>
      <c r="W309" s="20">
        <v>20248</v>
      </c>
    </row>
    <row r="310" spans="22:23" ht="15" thickBot="1" x14ac:dyDescent="0.4">
      <c r="V310" s="20">
        <v>1240</v>
      </c>
      <c r="W310" s="20">
        <v>20334</v>
      </c>
    </row>
    <row r="311" spans="22:23" ht="15" thickBot="1" x14ac:dyDescent="0.4">
      <c r="V311" s="20">
        <v>1244</v>
      </c>
      <c r="W311" s="20">
        <v>20420</v>
      </c>
    </row>
    <row r="312" spans="22:23" ht="15" thickBot="1" x14ac:dyDescent="0.4">
      <c r="V312" s="20">
        <v>1248</v>
      </c>
      <c r="W312" s="20">
        <v>20505</v>
      </c>
    </row>
    <row r="313" spans="22:23" ht="15" thickBot="1" x14ac:dyDescent="0.4">
      <c r="V313" s="20">
        <v>1252</v>
      </c>
      <c r="W313" s="20">
        <v>20591</v>
      </c>
    </row>
    <row r="314" spans="22:23" ht="15" thickBot="1" x14ac:dyDescent="0.4">
      <c r="V314" s="20">
        <v>1256</v>
      </c>
      <c r="W314" s="20">
        <v>20677</v>
      </c>
    </row>
    <row r="315" spans="22:23" ht="15" thickBot="1" x14ac:dyDescent="0.4">
      <c r="V315" s="20">
        <v>1260</v>
      </c>
      <c r="W315" s="20">
        <v>20762</v>
      </c>
    </row>
    <row r="316" spans="22:23" ht="15" thickBot="1" x14ac:dyDescent="0.4">
      <c r="V316" s="20">
        <v>1264</v>
      </c>
      <c r="W316" s="20">
        <v>20848</v>
      </c>
    </row>
    <row r="317" spans="22:23" ht="15" thickBot="1" x14ac:dyDescent="0.4">
      <c r="V317" s="20">
        <v>1268</v>
      </c>
      <c r="W317" s="20">
        <v>20934</v>
      </c>
    </row>
    <row r="318" spans="22:23" ht="15" thickBot="1" x14ac:dyDescent="0.4">
      <c r="V318" s="20">
        <v>1272</v>
      </c>
      <c r="W318" s="20">
        <v>21020</v>
      </c>
    </row>
    <row r="319" spans="22:23" ht="15" thickBot="1" x14ac:dyDescent="0.4">
      <c r="V319" s="20">
        <v>1276</v>
      </c>
      <c r="W319" s="20">
        <v>21106</v>
      </c>
    </row>
    <row r="320" spans="22:23" ht="15" thickBot="1" x14ac:dyDescent="0.4">
      <c r="V320" s="20">
        <v>1280</v>
      </c>
      <c r="W320" s="20">
        <v>21191</v>
      </c>
    </row>
    <row r="321" spans="22:23" ht="15" thickBot="1" x14ac:dyDescent="0.4">
      <c r="V321" s="20">
        <v>1284</v>
      </c>
      <c r="W321" s="20">
        <v>21277</v>
      </c>
    </row>
    <row r="322" spans="22:23" ht="15" thickBot="1" x14ac:dyDescent="0.4">
      <c r="V322" s="20">
        <v>1288</v>
      </c>
      <c r="W322" s="20">
        <v>21363</v>
      </c>
    </row>
    <row r="323" spans="22:23" ht="15" thickBot="1" x14ac:dyDescent="0.4">
      <c r="V323" s="20">
        <v>1292</v>
      </c>
      <c r="W323" s="20">
        <v>21449</v>
      </c>
    </row>
    <row r="324" spans="22:23" ht="15" thickBot="1" x14ac:dyDescent="0.4">
      <c r="V324" s="20">
        <v>1296</v>
      </c>
      <c r="W324" s="20">
        <v>21535</v>
      </c>
    </row>
    <row r="325" spans="22:23" ht="15" thickBot="1" x14ac:dyDescent="0.4">
      <c r="V325" s="20">
        <v>1300</v>
      </c>
      <c r="W325" s="20">
        <v>21621</v>
      </c>
    </row>
    <row r="326" spans="22:23" ht="15" thickBot="1" x14ac:dyDescent="0.4">
      <c r="V326" s="20">
        <v>1304</v>
      </c>
      <c r="W326" s="20">
        <v>21707</v>
      </c>
    </row>
    <row r="327" spans="22:23" ht="15" thickBot="1" x14ac:dyDescent="0.4">
      <c r="V327" s="20">
        <v>1308</v>
      </c>
      <c r="W327" s="20">
        <v>21793</v>
      </c>
    </row>
    <row r="328" spans="22:23" ht="15" thickBot="1" x14ac:dyDescent="0.4">
      <c r="V328" s="20">
        <v>1312</v>
      </c>
      <c r="W328" s="20">
        <v>21879</v>
      </c>
    </row>
    <row r="329" spans="22:23" ht="15" thickBot="1" x14ac:dyDescent="0.4">
      <c r="V329" s="20">
        <v>1316</v>
      </c>
      <c r="W329" s="20">
        <v>21965</v>
      </c>
    </row>
    <row r="330" spans="22:23" ht="15" thickBot="1" x14ac:dyDescent="0.4">
      <c r="V330" s="20">
        <v>1320</v>
      </c>
      <c r="W330" s="20">
        <v>22051</v>
      </c>
    </row>
    <row r="331" spans="22:23" ht="15" thickBot="1" x14ac:dyDescent="0.4">
      <c r="V331" s="20">
        <v>1324</v>
      </c>
      <c r="W331" s="20">
        <v>22137</v>
      </c>
    </row>
    <row r="332" spans="22:23" ht="15" thickBot="1" x14ac:dyDescent="0.4">
      <c r="V332" s="20">
        <v>1328</v>
      </c>
      <c r="W332" s="20">
        <v>22223</v>
      </c>
    </row>
    <row r="333" spans="22:23" ht="15" thickBot="1" x14ac:dyDescent="0.4">
      <c r="V333" s="20">
        <v>1332</v>
      </c>
      <c r="W333" s="20">
        <v>22309</v>
      </c>
    </row>
    <row r="334" spans="22:23" ht="15" thickBot="1" x14ac:dyDescent="0.4">
      <c r="V334" s="20">
        <v>1336</v>
      </c>
      <c r="W334" s="20">
        <v>22395</v>
      </c>
    </row>
    <row r="335" spans="22:23" ht="15" thickBot="1" x14ac:dyDescent="0.4">
      <c r="V335" s="20">
        <v>1340</v>
      </c>
      <c r="W335" s="20">
        <v>22481</v>
      </c>
    </row>
    <row r="336" spans="22:23" ht="15" thickBot="1" x14ac:dyDescent="0.4">
      <c r="V336" s="20">
        <v>1344</v>
      </c>
      <c r="W336" s="20">
        <v>22567</v>
      </c>
    </row>
    <row r="337" spans="22:23" ht="15" thickBot="1" x14ac:dyDescent="0.4">
      <c r="V337" s="20">
        <v>1348</v>
      </c>
      <c r="W337" s="20">
        <v>22653</v>
      </c>
    </row>
    <row r="338" spans="22:23" ht="15" thickBot="1" x14ac:dyDescent="0.4">
      <c r="V338" s="20">
        <v>1352</v>
      </c>
      <c r="W338" s="20">
        <v>22739</v>
      </c>
    </row>
    <row r="339" spans="22:23" ht="15" thickBot="1" x14ac:dyDescent="0.4">
      <c r="V339" s="20">
        <v>1356</v>
      </c>
      <c r="W339" s="20">
        <v>22825</v>
      </c>
    </row>
    <row r="340" spans="22:23" ht="15" thickBot="1" x14ac:dyDescent="0.4">
      <c r="V340" s="20">
        <v>1360</v>
      </c>
      <c r="W340" s="20">
        <v>22911</v>
      </c>
    </row>
    <row r="341" spans="22:23" ht="15" thickBot="1" x14ac:dyDescent="0.4">
      <c r="V341" s="20">
        <v>1364</v>
      </c>
      <c r="W341" s="20">
        <v>22997</v>
      </c>
    </row>
    <row r="342" spans="22:23" ht="15" thickBot="1" x14ac:dyDescent="0.4">
      <c r="V342" s="20">
        <v>1368</v>
      </c>
      <c r="W342" s="20">
        <v>23083</v>
      </c>
    </row>
    <row r="343" spans="22:23" ht="15" thickBot="1" x14ac:dyDescent="0.4">
      <c r="V343" s="20">
        <v>1372</v>
      </c>
      <c r="W343" s="20">
        <v>23169</v>
      </c>
    </row>
    <row r="344" spans="22:23" ht="15" thickBot="1" x14ac:dyDescent="0.4">
      <c r="V344" s="20">
        <v>1376</v>
      </c>
      <c r="W344" s="20">
        <v>23255</v>
      </c>
    </row>
    <row r="345" spans="22:23" ht="15" thickBot="1" x14ac:dyDescent="0.4">
      <c r="V345" s="20">
        <v>1380</v>
      </c>
      <c r="W345" s="20">
        <v>23341</v>
      </c>
    </row>
    <row r="346" spans="22:23" ht="15" thickBot="1" x14ac:dyDescent="0.4">
      <c r="V346" s="20">
        <v>1384</v>
      </c>
      <c r="W346" s="20">
        <v>23427</v>
      </c>
    </row>
    <row r="347" spans="22:23" ht="15" thickBot="1" x14ac:dyDescent="0.4">
      <c r="V347" s="20">
        <v>1388</v>
      </c>
      <c r="W347" s="20">
        <v>23513</v>
      </c>
    </row>
    <row r="348" spans="22:23" ht="15" thickBot="1" x14ac:dyDescent="0.4">
      <c r="V348" s="20">
        <v>1392</v>
      </c>
      <c r="W348" s="20">
        <v>23599</v>
      </c>
    </row>
    <row r="349" spans="22:23" ht="15" thickBot="1" x14ac:dyDescent="0.4">
      <c r="V349" s="20">
        <v>1396</v>
      </c>
      <c r="W349" s="20">
        <v>23685</v>
      </c>
    </row>
    <row r="350" spans="22:23" ht="15" thickBot="1" x14ac:dyDescent="0.4">
      <c r="V350" s="20">
        <v>1400</v>
      </c>
      <c r="W350" s="20">
        <v>23771</v>
      </c>
    </row>
    <row r="351" spans="22:23" ht="15" thickBot="1" x14ac:dyDescent="0.4">
      <c r="V351" s="20">
        <v>1404</v>
      </c>
      <c r="W351" s="20">
        <v>23857</v>
      </c>
    </row>
    <row r="352" spans="22:23" ht="15" thickBot="1" x14ac:dyDescent="0.4">
      <c r="V352" s="20">
        <v>1408</v>
      </c>
      <c r="W352" s="20">
        <v>23943</v>
      </c>
    </row>
    <row r="353" spans="22:23" ht="15" thickBot="1" x14ac:dyDescent="0.4">
      <c r="V353" s="20">
        <v>1412</v>
      </c>
      <c r="W353" s="20">
        <v>24029</v>
      </c>
    </row>
    <row r="354" spans="22:23" ht="15" thickBot="1" x14ac:dyDescent="0.4">
      <c r="V354" s="20">
        <v>1416</v>
      </c>
      <c r="W354" s="20">
        <v>24115</v>
      </c>
    </row>
    <row r="355" spans="22:23" ht="15" thickBot="1" x14ac:dyDescent="0.4">
      <c r="V355" s="20">
        <v>1420</v>
      </c>
      <c r="W355" s="20">
        <v>24201</v>
      </c>
    </row>
    <row r="356" spans="22:23" ht="15" thickBot="1" x14ac:dyDescent="0.4">
      <c r="V356" s="20">
        <v>1424</v>
      </c>
      <c r="W356" s="20">
        <v>24286</v>
      </c>
    </row>
    <row r="357" spans="22:23" ht="15" thickBot="1" x14ac:dyDescent="0.4">
      <c r="V357" s="20">
        <v>1428</v>
      </c>
      <c r="W357" s="20">
        <v>24372</v>
      </c>
    </row>
    <row r="358" spans="22:23" ht="15" thickBot="1" x14ac:dyDescent="0.4">
      <c r="V358" s="20">
        <v>1432</v>
      </c>
      <c r="W358" s="20">
        <v>24458</v>
      </c>
    </row>
    <row r="359" spans="22:23" ht="15" thickBot="1" x14ac:dyDescent="0.4">
      <c r="V359" s="20">
        <v>1436</v>
      </c>
      <c r="W359" s="20">
        <v>24544</v>
      </c>
    </row>
    <row r="360" spans="22:23" ht="15" thickBot="1" x14ac:dyDescent="0.4">
      <c r="V360" s="20">
        <v>1440</v>
      </c>
      <c r="W360" s="20">
        <v>24630</v>
      </c>
    </row>
    <row r="361" spans="22:23" ht="15" thickBot="1" x14ac:dyDescent="0.4">
      <c r="V361" s="20">
        <v>1444</v>
      </c>
      <c r="W361" s="20">
        <v>24716</v>
      </c>
    </row>
    <row r="362" spans="22:23" ht="15" thickBot="1" x14ac:dyDescent="0.4">
      <c r="V362" s="20">
        <v>1448</v>
      </c>
      <c r="W362" s="20">
        <v>24802</v>
      </c>
    </row>
    <row r="363" spans="22:23" ht="15" thickBot="1" x14ac:dyDescent="0.4">
      <c r="V363" s="20">
        <v>1452</v>
      </c>
      <c r="W363" s="20">
        <v>24888</v>
      </c>
    </row>
    <row r="364" spans="22:23" ht="15" thickBot="1" x14ac:dyDescent="0.4">
      <c r="V364" s="20">
        <v>1456</v>
      </c>
      <c r="W364" s="20">
        <v>24974</v>
      </c>
    </row>
    <row r="365" spans="22:23" ht="15" thickBot="1" x14ac:dyDescent="0.4">
      <c r="V365" s="20">
        <v>1460</v>
      </c>
      <c r="W365" s="20">
        <v>25059</v>
      </c>
    </row>
    <row r="366" spans="22:23" ht="15" thickBot="1" x14ac:dyDescent="0.4">
      <c r="V366" s="20">
        <v>1464</v>
      </c>
      <c r="W366" s="20">
        <v>25145</v>
      </c>
    </row>
    <row r="367" spans="22:23" ht="15" thickBot="1" x14ac:dyDescent="0.4">
      <c r="V367" s="20">
        <v>1468</v>
      </c>
      <c r="W367" s="20">
        <v>25231</v>
      </c>
    </row>
    <row r="368" spans="22:23" ht="15" thickBot="1" x14ac:dyDescent="0.4">
      <c r="V368" s="20">
        <v>1472</v>
      </c>
      <c r="W368" s="20">
        <v>25317</v>
      </c>
    </row>
    <row r="369" spans="22:23" ht="15" thickBot="1" x14ac:dyDescent="0.4">
      <c r="V369" s="20">
        <v>1476</v>
      </c>
      <c r="W369" s="20">
        <v>25402</v>
      </c>
    </row>
    <row r="370" spans="22:23" ht="15" thickBot="1" x14ac:dyDescent="0.4">
      <c r="V370" s="20">
        <v>1480</v>
      </c>
      <c r="W370" s="20">
        <v>25488</v>
      </c>
    </row>
    <row r="371" spans="22:23" ht="15" thickBot="1" x14ac:dyDescent="0.4">
      <c r="V371" s="20">
        <v>1484</v>
      </c>
      <c r="W371" s="20">
        <v>25574</v>
      </c>
    </row>
    <row r="372" spans="22:23" ht="15" thickBot="1" x14ac:dyDescent="0.4">
      <c r="V372" s="20">
        <v>1488</v>
      </c>
      <c r="W372" s="20">
        <v>25659</v>
      </c>
    </row>
    <row r="373" spans="22:23" ht="15" thickBot="1" x14ac:dyDescent="0.4">
      <c r="V373" s="20">
        <v>1492</v>
      </c>
      <c r="W373" s="20">
        <v>25745</v>
      </c>
    </row>
    <row r="374" spans="22:23" ht="15" thickBot="1" x14ac:dyDescent="0.4">
      <c r="V374" s="20">
        <v>1496</v>
      </c>
      <c r="W374" s="20">
        <v>25831</v>
      </c>
    </row>
    <row r="375" spans="22:23" ht="15" thickBot="1" x14ac:dyDescent="0.4">
      <c r="V375" s="20">
        <v>1500</v>
      </c>
      <c r="W375" s="20">
        <v>25916</v>
      </c>
    </row>
    <row r="376" spans="22:23" ht="15" thickBot="1" x14ac:dyDescent="0.4">
      <c r="V376" s="20">
        <v>1504</v>
      </c>
      <c r="W376" s="20">
        <v>26002</v>
      </c>
    </row>
    <row r="377" spans="22:23" ht="15" thickBot="1" x14ac:dyDescent="0.4">
      <c r="V377" s="20">
        <v>1508</v>
      </c>
      <c r="W377" s="20">
        <v>26087</v>
      </c>
    </row>
    <row r="378" spans="22:23" ht="15" thickBot="1" x14ac:dyDescent="0.4">
      <c r="V378" s="20">
        <v>1512</v>
      </c>
      <c r="W378" s="20">
        <v>26173</v>
      </c>
    </row>
    <row r="379" spans="22:23" ht="15" thickBot="1" x14ac:dyDescent="0.4">
      <c r="V379" s="20">
        <v>1516</v>
      </c>
      <c r="W379" s="20">
        <v>26258</v>
      </c>
    </row>
    <row r="380" spans="22:23" ht="15" thickBot="1" x14ac:dyDescent="0.4">
      <c r="V380" s="20">
        <v>1520</v>
      </c>
      <c r="W380" s="20">
        <v>26344</v>
      </c>
    </row>
    <row r="381" spans="22:23" ht="15" thickBot="1" x14ac:dyDescent="0.4">
      <c r="V381" s="20">
        <v>1524</v>
      </c>
      <c r="W381" s="20">
        <v>26429</v>
      </c>
    </row>
    <row r="382" spans="22:23" ht="15" thickBot="1" x14ac:dyDescent="0.4">
      <c r="V382" s="20">
        <v>1528</v>
      </c>
      <c r="W382" s="20">
        <v>26515</v>
      </c>
    </row>
    <row r="383" spans="22:23" ht="15" thickBot="1" x14ac:dyDescent="0.4">
      <c r="V383" s="20">
        <v>1532</v>
      </c>
      <c r="W383" s="20">
        <v>26600</v>
      </c>
    </row>
    <row r="384" spans="22:23" ht="15" thickBot="1" x14ac:dyDescent="0.4">
      <c r="V384" s="20">
        <v>1536</v>
      </c>
      <c r="W384" s="20">
        <v>26685</v>
      </c>
    </row>
    <row r="385" spans="22:23" ht="15" thickBot="1" x14ac:dyDescent="0.4">
      <c r="V385" s="20">
        <v>1540</v>
      </c>
      <c r="W385" s="20">
        <v>26771</v>
      </c>
    </row>
    <row r="386" spans="22:23" ht="15" thickBot="1" x14ac:dyDescent="0.4">
      <c r="V386" s="20">
        <v>1544</v>
      </c>
      <c r="W386" s="20">
        <v>26856</v>
      </c>
    </row>
    <row r="387" spans="22:23" ht="15" thickBot="1" x14ac:dyDescent="0.4">
      <c r="V387" s="20">
        <v>1548</v>
      </c>
      <c r="W387" s="20">
        <v>26941</v>
      </c>
    </row>
    <row r="388" spans="22:23" ht="15" thickBot="1" x14ac:dyDescent="0.4">
      <c r="V388" s="20">
        <v>1552</v>
      </c>
      <c r="W388" s="20">
        <v>27026</v>
      </c>
    </row>
    <row r="389" spans="22:23" ht="15" thickBot="1" x14ac:dyDescent="0.4">
      <c r="V389" s="20">
        <v>1556</v>
      </c>
      <c r="W389" s="20">
        <v>27112</v>
      </c>
    </row>
    <row r="390" spans="22:23" ht="15" thickBot="1" x14ac:dyDescent="0.4">
      <c r="V390" s="20">
        <v>1560</v>
      </c>
      <c r="W390" s="20">
        <v>27197</v>
      </c>
    </row>
    <row r="391" spans="22:23" ht="15" thickBot="1" x14ac:dyDescent="0.4">
      <c r="V391" s="20">
        <v>1564</v>
      </c>
      <c r="W391" s="20">
        <v>27282</v>
      </c>
    </row>
    <row r="392" spans="22:23" ht="15" thickBot="1" x14ac:dyDescent="0.4">
      <c r="V392" s="20">
        <v>1568</v>
      </c>
      <c r="W392" s="20">
        <v>27367</v>
      </c>
    </row>
    <row r="393" spans="22:23" ht="15" thickBot="1" x14ac:dyDescent="0.4">
      <c r="V393" s="20">
        <v>1572</v>
      </c>
      <c r="W393" s="20">
        <v>27452</v>
      </c>
    </row>
    <row r="394" spans="22:23" ht="15" thickBot="1" x14ac:dyDescent="0.4">
      <c r="V394" s="20">
        <v>1576</v>
      </c>
      <c r="W394" s="20">
        <v>27537</v>
      </c>
    </row>
    <row r="395" spans="22:23" ht="15" thickBot="1" x14ac:dyDescent="0.4">
      <c r="V395" s="20">
        <v>1580</v>
      </c>
      <c r="W395" s="20">
        <v>27622</v>
      </c>
    </row>
    <row r="396" spans="22:23" ht="15" thickBot="1" x14ac:dyDescent="0.4">
      <c r="V396" s="20">
        <v>1584</v>
      </c>
      <c r="W396" s="20">
        <v>27707</v>
      </c>
    </row>
    <row r="397" spans="22:23" ht="15" thickBot="1" x14ac:dyDescent="0.4">
      <c r="V397" s="20">
        <v>1588</v>
      </c>
      <c r="W397" s="20">
        <v>27792</v>
      </c>
    </row>
    <row r="398" spans="22:23" ht="15" thickBot="1" x14ac:dyDescent="0.4">
      <c r="V398" s="20">
        <v>1592</v>
      </c>
      <c r="W398" s="20">
        <v>27876</v>
      </c>
    </row>
    <row r="399" spans="22:23" ht="15" thickBot="1" x14ac:dyDescent="0.4">
      <c r="V399" s="20">
        <v>1596</v>
      </c>
      <c r="W399" s="20">
        <v>27961</v>
      </c>
    </row>
    <row r="400" spans="22:23" ht="15" thickBot="1" x14ac:dyDescent="0.4">
      <c r="V400" s="20">
        <v>1600</v>
      </c>
      <c r="W400" s="20">
        <v>28046</v>
      </c>
    </row>
    <row r="401" spans="22:23" ht="15" thickBot="1" x14ac:dyDescent="0.4">
      <c r="V401" s="20">
        <v>1604</v>
      </c>
      <c r="W401" s="20">
        <v>28131</v>
      </c>
    </row>
    <row r="402" spans="22:23" ht="15" thickBot="1" x14ac:dyDescent="0.4">
      <c r="V402" s="20">
        <v>1608</v>
      </c>
      <c r="W402" s="20">
        <v>28215</v>
      </c>
    </row>
    <row r="403" spans="22:23" ht="15" thickBot="1" x14ac:dyDescent="0.4">
      <c r="V403" s="20">
        <v>1612</v>
      </c>
      <c r="W403" s="20">
        <v>28300</v>
      </c>
    </row>
    <row r="404" spans="22:23" ht="15" thickBot="1" x14ac:dyDescent="0.4">
      <c r="V404" s="20">
        <v>1616</v>
      </c>
      <c r="W404" s="20">
        <v>28384</v>
      </c>
    </row>
    <row r="405" spans="22:23" ht="15" thickBot="1" x14ac:dyDescent="0.4">
      <c r="V405" s="20">
        <v>1620</v>
      </c>
      <c r="W405" s="20">
        <v>28469</v>
      </c>
    </row>
    <row r="406" spans="22:23" ht="15" thickBot="1" x14ac:dyDescent="0.4">
      <c r="V406" s="20">
        <v>1624</v>
      </c>
      <c r="W406" s="20">
        <v>28553</v>
      </c>
    </row>
    <row r="407" spans="22:23" ht="15" thickBot="1" x14ac:dyDescent="0.4">
      <c r="V407" s="20">
        <v>1628</v>
      </c>
      <c r="W407" s="20">
        <v>28638</v>
      </c>
    </row>
    <row r="408" spans="22:23" ht="15" thickBot="1" x14ac:dyDescent="0.4">
      <c r="V408" s="20">
        <v>1632</v>
      </c>
      <c r="W408" s="20">
        <v>28722</v>
      </c>
    </row>
    <row r="409" spans="22:23" ht="15" thickBot="1" x14ac:dyDescent="0.4">
      <c r="V409" s="20">
        <v>1636</v>
      </c>
      <c r="W409" s="20">
        <v>28806</v>
      </c>
    </row>
    <row r="410" spans="22:23" ht="15" thickBot="1" x14ac:dyDescent="0.4">
      <c r="V410" s="20">
        <v>1640</v>
      </c>
      <c r="W410" s="20">
        <v>28891</v>
      </c>
    </row>
    <row r="411" spans="22:23" ht="15" thickBot="1" x14ac:dyDescent="0.4">
      <c r="V411" s="20">
        <v>1644</v>
      </c>
      <c r="W411" s="20">
        <v>28975</v>
      </c>
    </row>
    <row r="412" spans="22:23" ht="15" thickBot="1" x14ac:dyDescent="0.4">
      <c r="V412" s="20">
        <v>1648</v>
      </c>
      <c r="W412" s="20">
        <v>29059</v>
      </c>
    </row>
    <row r="413" spans="22:23" ht="15" thickBot="1" x14ac:dyDescent="0.4">
      <c r="V413" s="20">
        <v>1652</v>
      </c>
      <c r="W413" s="20">
        <v>29143</v>
      </c>
    </row>
    <row r="414" spans="22:23" ht="15" thickBot="1" x14ac:dyDescent="0.4">
      <c r="V414" s="20">
        <v>1656</v>
      </c>
      <c r="W414" s="20">
        <v>29227</v>
      </c>
    </row>
    <row r="415" spans="22:23" ht="15" thickBot="1" x14ac:dyDescent="0.4">
      <c r="V415" s="20">
        <v>1660</v>
      </c>
      <c r="W415" s="20">
        <v>29311</v>
      </c>
    </row>
    <row r="416" spans="22:23" ht="15" thickBot="1" x14ac:dyDescent="0.4">
      <c r="V416" s="20">
        <v>1664</v>
      </c>
      <c r="W416" s="20">
        <v>29393</v>
      </c>
    </row>
    <row r="417" spans="22:23" ht="15" thickBot="1" x14ac:dyDescent="0.4">
      <c r="V417" s="20">
        <v>1668</v>
      </c>
      <c r="W417" s="20">
        <v>29479</v>
      </c>
    </row>
    <row r="418" spans="22:23" ht="15" thickBot="1" x14ac:dyDescent="0.4">
      <c r="V418" s="20">
        <v>1672</v>
      </c>
      <c r="W418" s="20">
        <v>29562</v>
      </c>
    </row>
    <row r="419" spans="22:23" ht="15" thickBot="1" x14ac:dyDescent="0.4">
      <c r="V419" s="20">
        <v>1676</v>
      </c>
      <c r="W419" s="20">
        <v>29646</v>
      </c>
    </row>
    <row r="420" spans="22:23" ht="15" thickBot="1" x14ac:dyDescent="0.4">
      <c r="V420" s="20">
        <v>1680</v>
      </c>
      <c r="W420" s="20">
        <v>29730</v>
      </c>
    </row>
    <row r="421" spans="22:23" ht="15" thickBot="1" x14ac:dyDescent="0.4">
      <c r="V421" s="20">
        <v>1684</v>
      </c>
      <c r="W421" s="20">
        <v>29814</v>
      </c>
    </row>
    <row r="422" spans="22:23" ht="15" thickBot="1" x14ac:dyDescent="0.4">
      <c r="V422" s="20">
        <v>1688</v>
      </c>
      <c r="W422" s="20">
        <v>29897</v>
      </c>
    </row>
    <row r="423" spans="22:23" ht="15" thickBot="1" x14ac:dyDescent="0.4">
      <c r="V423" s="20">
        <v>1692</v>
      </c>
      <c r="W423" s="20">
        <v>29980</v>
      </c>
    </row>
    <row r="424" spans="22:23" ht="15" thickBot="1" x14ac:dyDescent="0.4">
      <c r="V424" s="20">
        <v>1696</v>
      </c>
      <c r="W424" s="20">
        <v>30060</v>
      </c>
    </row>
    <row r="425" spans="22:23" ht="15" thickBot="1" x14ac:dyDescent="0.4">
      <c r="V425" s="20">
        <v>1700</v>
      </c>
      <c r="W425" s="20">
        <v>30147</v>
      </c>
    </row>
    <row r="426" spans="22:23" ht="15" thickBot="1" x14ac:dyDescent="0.4">
      <c r="V426" s="20">
        <v>1704</v>
      </c>
      <c r="W426" s="20">
        <v>30231</v>
      </c>
    </row>
    <row r="427" spans="22:23" ht="15" thickBot="1" x14ac:dyDescent="0.4">
      <c r="V427" s="20">
        <v>1708</v>
      </c>
      <c r="W427" s="20">
        <v>30314</v>
      </c>
    </row>
    <row r="428" spans="22:23" ht="15" thickBot="1" x14ac:dyDescent="0.4">
      <c r="V428" s="20">
        <v>1712</v>
      </c>
      <c r="W428" s="20">
        <v>30397</v>
      </c>
    </row>
    <row r="429" spans="22:23" ht="15" thickBot="1" x14ac:dyDescent="0.4">
      <c r="V429" s="20">
        <v>1716</v>
      </c>
      <c r="W429" s="20">
        <v>30480</v>
      </c>
    </row>
    <row r="430" spans="22:23" ht="15" thickBot="1" x14ac:dyDescent="0.4">
      <c r="V430" s="20">
        <v>1720</v>
      </c>
      <c r="W430" s="20">
        <v>30563</v>
      </c>
    </row>
    <row r="431" spans="22:23" ht="15" thickBot="1" x14ac:dyDescent="0.4">
      <c r="V431" s="20">
        <v>1724</v>
      </c>
      <c r="W431" s="20">
        <v>30646</v>
      </c>
    </row>
    <row r="432" spans="22:23" ht="15" thickBot="1" x14ac:dyDescent="0.4">
      <c r="V432" s="20">
        <v>1728</v>
      </c>
      <c r="W432" s="20">
        <v>30729</v>
      </c>
    </row>
    <row r="433" spans="22:23" ht="15" thickBot="1" x14ac:dyDescent="0.4">
      <c r="V433" s="20">
        <v>1732</v>
      </c>
      <c r="W433" s="20">
        <v>30812</v>
      </c>
    </row>
    <row r="434" spans="22:23" ht="15" thickBot="1" x14ac:dyDescent="0.4">
      <c r="V434" s="20">
        <v>1736</v>
      </c>
      <c r="W434" s="20">
        <v>30895</v>
      </c>
    </row>
    <row r="435" spans="22:23" ht="15" thickBot="1" x14ac:dyDescent="0.4">
      <c r="V435" s="20">
        <v>1740</v>
      </c>
      <c r="W435" s="20">
        <v>30977</v>
      </c>
    </row>
    <row r="436" spans="22:23" ht="15" thickBot="1" x14ac:dyDescent="0.4">
      <c r="V436" s="20">
        <v>1744</v>
      </c>
      <c r="W436" s="20">
        <v>31060</v>
      </c>
    </row>
    <row r="437" spans="22:23" ht="15" thickBot="1" x14ac:dyDescent="0.4">
      <c r="V437" s="20">
        <v>1748</v>
      </c>
      <c r="W437" s="20">
        <v>31142</v>
      </c>
    </row>
    <row r="438" spans="22:23" ht="15" thickBot="1" x14ac:dyDescent="0.4">
      <c r="V438" s="20">
        <v>1752</v>
      </c>
      <c r="W438" s="20">
        <v>31225</v>
      </c>
    </row>
    <row r="439" spans="22:23" ht="15" thickBot="1" x14ac:dyDescent="0.4">
      <c r="V439" s="20">
        <v>1756</v>
      </c>
      <c r="W439" s="20">
        <v>31307</v>
      </c>
    </row>
    <row r="440" spans="22:23" ht="15" thickBot="1" x14ac:dyDescent="0.4">
      <c r="V440" s="20">
        <v>1760</v>
      </c>
      <c r="W440" s="20">
        <v>31390</v>
      </c>
    </row>
    <row r="441" spans="22:23" ht="15" thickBot="1" x14ac:dyDescent="0.4">
      <c r="V441" s="20">
        <v>1764</v>
      </c>
      <c r="W441" s="20">
        <v>31472</v>
      </c>
    </row>
    <row r="442" spans="22:23" ht="15" thickBot="1" x14ac:dyDescent="0.4">
      <c r="V442" s="20">
        <v>1768</v>
      </c>
      <c r="W442" s="20">
        <v>31554</v>
      </c>
    </row>
    <row r="443" spans="22:23" ht="15" thickBot="1" x14ac:dyDescent="0.4">
      <c r="V443" s="20">
        <v>1772</v>
      </c>
      <c r="W443" s="20">
        <v>31636</v>
      </c>
    </row>
    <row r="444" spans="22:23" ht="15" thickBot="1" x14ac:dyDescent="0.4">
      <c r="V444" s="20">
        <v>1776</v>
      </c>
      <c r="W444" s="20">
        <v>31718</v>
      </c>
    </row>
    <row r="445" spans="22:23" ht="15" thickBot="1" x14ac:dyDescent="0.4">
      <c r="V445" s="20">
        <v>1780</v>
      </c>
      <c r="W445" s="20">
        <v>31800</v>
      </c>
    </row>
    <row r="446" spans="22:23" ht="15" thickBot="1" x14ac:dyDescent="0.4">
      <c r="V446" s="20">
        <v>1784</v>
      </c>
      <c r="W446" s="20">
        <v>31882</v>
      </c>
    </row>
    <row r="447" spans="22:23" ht="15" thickBot="1" x14ac:dyDescent="0.4">
      <c r="V447" s="20">
        <v>1788</v>
      </c>
      <c r="W447" s="20">
        <v>31964</v>
      </c>
    </row>
    <row r="448" spans="22:23" ht="15" thickBot="1" x14ac:dyDescent="0.4">
      <c r="V448" s="20">
        <v>1792</v>
      </c>
      <c r="W448" s="20">
        <v>32045</v>
      </c>
    </row>
    <row r="449" spans="22:23" ht="15" thickBot="1" x14ac:dyDescent="0.4">
      <c r="V449" s="20">
        <v>1796</v>
      </c>
      <c r="W449" s="20">
        <v>32127</v>
      </c>
    </row>
    <row r="450" spans="22:23" ht="15" thickBot="1" x14ac:dyDescent="0.4">
      <c r="V450" s="20">
        <v>1800</v>
      </c>
      <c r="W450" s="20">
        <v>32208</v>
      </c>
    </row>
    <row r="451" spans="22:23" ht="15" thickBot="1" x14ac:dyDescent="0.4">
      <c r="V451" s="20">
        <v>1804</v>
      </c>
      <c r="W451" s="20">
        <v>32290</v>
      </c>
    </row>
    <row r="452" spans="22:23" ht="15" thickBot="1" x14ac:dyDescent="0.4">
      <c r="V452" s="20">
        <v>1808</v>
      </c>
      <c r="W452" s="20">
        <v>32371</v>
      </c>
    </row>
    <row r="453" spans="22:23" ht="15" thickBot="1" x14ac:dyDescent="0.4">
      <c r="V453" s="20">
        <v>1812</v>
      </c>
      <c r="W453" s="20">
        <v>32452</v>
      </c>
    </row>
    <row r="454" spans="22:23" ht="15" thickBot="1" x14ac:dyDescent="0.4">
      <c r="V454" s="20">
        <v>1816</v>
      </c>
      <c r="W454" s="20">
        <v>32533</v>
      </c>
    </row>
    <row r="455" spans="22:23" ht="15" thickBot="1" x14ac:dyDescent="0.4">
      <c r="V455" s="20">
        <v>1820</v>
      </c>
      <c r="W455" s="20">
        <v>32614</v>
      </c>
    </row>
    <row r="456" spans="22:23" ht="15" thickBot="1" x14ac:dyDescent="0.4">
      <c r="V456" s="20">
        <v>1824</v>
      </c>
      <c r="W456" s="20">
        <v>32695</v>
      </c>
    </row>
    <row r="457" spans="22:23" ht="15" thickBot="1" x14ac:dyDescent="0.4">
      <c r="V457" s="20">
        <v>1828</v>
      </c>
      <c r="W457" s="20">
        <v>32776</v>
      </c>
    </row>
    <row r="458" spans="22:23" ht="15" thickBot="1" x14ac:dyDescent="0.4">
      <c r="V458" s="20">
        <v>1832</v>
      </c>
      <c r="W458" s="20">
        <v>32857</v>
      </c>
    </row>
    <row r="459" spans="22:23" ht="15" thickBot="1" x14ac:dyDescent="0.4">
      <c r="V459" s="20">
        <v>1836</v>
      </c>
      <c r="W459" s="20">
        <v>32938</v>
      </c>
    </row>
    <row r="460" spans="22:23" ht="15" thickBot="1" x14ac:dyDescent="0.4">
      <c r="V460" s="20">
        <v>1840</v>
      </c>
      <c r="W460" s="20">
        <v>33018</v>
      </c>
    </row>
    <row r="461" spans="22:23" ht="15" thickBot="1" x14ac:dyDescent="0.4">
      <c r="V461" s="20">
        <v>1844</v>
      </c>
      <c r="W461" s="20">
        <v>33099</v>
      </c>
    </row>
    <row r="462" spans="22:23" ht="15" thickBot="1" x14ac:dyDescent="0.4">
      <c r="V462" s="20">
        <v>1848</v>
      </c>
      <c r="W462" s="20">
        <v>33179</v>
      </c>
    </row>
    <row r="463" spans="22:23" ht="15" thickBot="1" x14ac:dyDescent="0.4">
      <c r="V463" s="20">
        <v>1852</v>
      </c>
      <c r="W463" s="20">
        <v>33260</v>
      </c>
    </row>
    <row r="464" spans="22:23" ht="15" thickBot="1" x14ac:dyDescent="0.4">
      <c r="V464" s="20">
        <v>1856</v>
      </c>
      <c r="W464" s="20">
        <v>33340</v>
      </c>
    </row>
    <row r="465" spans="22:23" ht="15" thickBot="1" x14ac:dyDescent="0.4">
      <c r="V465" s="20">
        <v>1860</v>
      </c>
      <c r="W465" s="20">
        <v>33420</v>
      </c>
    </row>
    <row r="466" spans="22:23" ht="15" thickBot="1" x14ac:dyDescent="0.4">
      <c r="V466" s="20">
        <v>1864</v>
      </c>
      <c r="W466" s="20">
        <v>33500</v>
      </c>
    </row>
    <row r="467" spans="22:23" ht="15" thickBot="1" x14ac:dyDescent="0.4">
      <c r="V467" s="20">
        <v>1868</v>
      </c>
      <c r="W467" s="20">
        <v>33580</v>
      </c>
    </row>
    <row r="468" spans="22:23" ht="15" thickBot="1" x14ac:dyDescent="0.4">
      <c r="V468" s="20">
        <v>1872</v>
      </c>
      <c r="W468" s="20">
        <v>33660</v>
      </c>
    </row>
    <row r="469" spans="22:23" ht="15" thickBot="1" x14ac:dyDescent="0.4">
      <c r="V469" s="20">
        <v>1876</v>
      </c>
      <c r="W469" s="20">
        <v>33739</v>
      </c>
    </row>
    <row r="470" spans="22:23" ht="15" thickBot="1" x14ac:dyDescent="0.4">
      <c r="V470" s="20">
        <v>1880</v>
      </c>
      <c r="W470" s="20">
        <v>33819</v>
      </c>
    </row>
    <row r="471" spans="22:23" ht="15" thickBot="1" x14ac:dyDescent="0.4">
      <c r="V471" s="20">
        <v>1884</v>
      </c>
      <c r="W471" s="20">
        <v>33898</v>
      </c>
    </row>
    <row r="472" spans="22:23" ht="15" thickBot="1" x14ac:dyDescent="0.4">
      <c r="V472" s="20">
        <v>1888</v>
      </c>
      <c r="W472" s="20">
        <v>33978</v>
      </c>
    </row>
    <row r="473" spans="22:23" ht="15" thickBot="1" x14ac:dyDescent="0.4">
      <c r="V473" s="20">
        <v>1892</v>
      </c>
      <c r="W473" s="20">
        <v>34057</v>
      </c>
    </row>
    <row r="474" spans="22:23" ht="15" thickBot="1" x14ac:dyDescent="0.4">
      <c r="V474" s="20">
        <v>1896</v>
      </c>
      <c r="W474" s="20">
        <v>34136</v>
      </c>
    </row>
    <row r="475" spans="22:23" ht="15" thickBot="1" x14ac:dyDescent="0.4">
      <c r="V475" s="20">
        <v>1900</v>
      </c>
      <c r="W475" s="20">
        <v>34215</v>
      </c>
    </row>
    <row r="476" spans="22:23" ht="15" thickBot="1" x14ac:dyDescent="0.4">
      <c r="V476" s="20">
        <v>1904</v>
      </c>
      <c r="W476" s="20">
        <v>34294</v>
      </c>
    </row>
    <row r="477" spans="22:23" ht="15" thickBot="1" x14ac:dyDescent="0.4">
      <c r="V477" s="20">
        <v>1908</v>
      </c>
      <c r="W477" s="20">
        <v>34373</v>
      </c>
    </row>
    <row r="478" spans="22:23" ht="15" thickBot="1" x14ac:dyDescent="0.4">
      <c r="V478" s="20">
        <v>1912</v>
      </c>
      <c r="W478" s="20">
        <v>34452</v>
      </c>
    </row>
    <row r="479" spans="22:23" ht="15" thickBot="1" x14ac:dyDescent="0.4">
      <c r="V479" s="20">
        <v>1916</v>
      </c>
      <c r="W479" s="20">
        <v>34531</v>
      </c>
    </row>
    <row r="480" spans="22:23" ht="15" thickBot="1" x14ac:dyDescent="0.4">
      <c r="V480" s="20">
        <v>1920</v>
      </c>
      <c r="W480" s="20">
        <v>34609</v>
      </c>
    </row>
    <row r="481" spans="22:23" ht="15" thickBot="1" x14ac:dyDescent="0.4">
      <c r="V481" s="20">
        <v>1924</v>
      </c>
      <c r="W481" s="20">
        <v>34687</v>
      </c>
    </row>
    <row r="482" spans="22:23" ht="15" thickBot="1" x14ac:dyDescent="0.4">
      <c r="V482" s="20">
        <v>1928</v>
      </c>
      <c r="W482" s="20">
        <v>34766</v>
      </c>
    </row>
    <row r="483" spans="22:23" ht="15" thickBot="1" x14ac:dyDescent="0.4">
      <c r="V483" s="20">
        <v>1932</v>
      </c>
      <c r="W483" s="20">
        <v>34844</v>
      </c>
    </row>
    <row r="484" spans="22:23" ht="15" thickBot="1" x14ac:dyDescent="0.4">
      <c r="V484" s="20">
        <v>1936</v>
      </c>
      <c r="W484" s="20">
        <v>34922</v>
      </c>
    </row>
    <row r="485" spans="22:23" ht="15" thickBot="1" x14ac:dyDescent="0.4">
      <c r="V485" s="20">
        <v>1940</v>
      </c>
      <c r="W485" s="20">
        <v>35000</v>
      </c>
    </row>
    <row r="486" spans="22:23" ht="15" thickBot="1" x14ac:dyDescent="0.4">
      <c r="V486" s="20">
        <v>1944</v>
      </c>
      <c r="W486" s="20">
        <v>35078</v>
      </c>
    </row>
    <row r="487" spans="22:23" ht="15" thickBot="1" x14ac:dyDescent="0.4">
      <c r="V487" s="20">
        <v>1948</v>
      </c>
      <c r="W487" s="20">
        <v>35155</v>
      </c>
    </row>
    <row r="488" spans="22:23" ht="15" thickBot="1" x14ac:dyDescent="0.4">
      <c r="V488" s="20">
        <v>1952</v>
      </c>
      <c r="W488" s="20">
        <v>35233</v>
      </c>
    </row>
    <row r="489" spans="22:23" ht="15" thickBot="1" x14ac:dyDescent="0.4">
      <c r="V489" s="20">
        <v>1956</v>
      </c>
      <c r="W489" s="20">
        <v>35311</v>
      </c>
    </row>
    <row r="490" spans="22:23" ht="15" thickBot="1" x14ac:dyDescent="0.4">
      <c r="V490" s="20">
        <v>1960</v>
      </c>
      <c r="W490" s="20">
        <v>35388</v>
      </c>
    </row>
    <row r="491" spans="22:23" ht="15" thickBot="1" x14ac:dyDescent="0.4">
      <c r="V491" s="20">
        <v>1964</v>
      </c>
      <c r="W491" s="20">
        <v>35465</v>
      </c>
    </row>
    <row r="492" spans="22:23" ht="15" thickBot="1" x14ac:dyDescent="0.4">
      <c r="V492" s="20">
        <v>1968</v>
      </c>
      <c r="W492" s="20">
        <v>35542</v>
      </c>
    </row>
    <row r="493" spans="22:23" ht="15" thickBot="1" x14ac:dyDescent="0.4">
      <c r="V493" s="20">
        <v>1972</v>
      </c>
      <c r="W493" s="20">
        <v>35619</v>
      </c>
    </row>
    <row r="494" spans="22:23" ht="15" thickBot="1" x14ac:dyDescent="0.4">
      <c r="V494" s="20">
        <v>1976</v>
      </c>
      <c r="W494" s="20">
        <v>35696</v>
      </c>
    </row>
    <row r="495" spans="22:23" ht="15" thickBot="1" x14ac:dyDescent="0.4">
      <c r="V495" s="20">
        <v>1980</v>
      </c>
      <c r="W495" s="20">
        <v>35773</v>
      </c>
    </row>
    <row r="496" spans="22:23" ht="15" thickBot="1" x14ac:dyDescent="0.4">
      <c r="V496" s="20">
        <v>1984</v>
      </c>
      <c r="W496" s="20">
        <v>35849</v>
      </c>
    </row>
    <row r="497" spans="22:23" ht="15" thickBot="1" x14ac:dyDescent="0.4">
      <c r="V497" s="20">
        <v>1988</v>
      </c>
      <c r="W497" s="20">
        <v>35926</v>
      </c>
    </row>
    <row r="498" spans="22:23" ht="15" thickBot="1" x14ac:dyDescent="0.4">
      <c r="V498" s="20">
        <v>1992</v>
      </c>
      <c r="W498" s="20">
        <v>36002</v>
      </c>
    </row>
    <row r="499" spans="22:23" ht="15" thickBot="1" x14ac:dyDescent="0.4">
      <c r="V499" s="20">
        <v>1996</v>
      </c>
      <c r="W499" s="20">
        <v>36078</v>
      </c>
    </row>
    <row r="500" spans="22:23" ht="15" thickBot="1" x14ac:dyDescent="0.4">
      <c r="V500" s="20">
        <v>2000</v>
      </c>
      <c r="W500" s="20">
        <v>36154</v>
      </c>
    </row>
    <row r="501" spans="22:23" ht="15" thickBot="1" x14ac:dyDescent="0.4">
      <c r="V501" s="20">
        <v>2004</v>
      </c>
      <c r="W501" s="20">
        <v>36230</v>
      </c>
    </row>
    <row r="502" spans="22:23" ht="15" thickBot="1" x14ac:dyDescent="0.4">
      <c r="V502" s="20">
        <v>2008</v>
      </c>
      <c r="W502" s="20">
        <v>36306</v>
      </c>
    </row>
    <row r="503" spans="22:23" ht="15" thickBot="1" x14ac:dyDescent="0.4">
      <c r="V503" s="20">
        <v>2012</v>
      </c>
      <c r="W503" s="20">
        <v>36382</v>
      </c>
    </row>
    <row r="504" spans="22:23" ht="15" thickBot="1" x14ac:dyDescent="0.4">
      <c r="V504" s="20">
        <v>2016</v>
      </c>
      <c r="W504" s="20">
        <v>36457</v>
      </c>
    </row>
    <row r="505" spans="22:23" ht="15" thickBot="1" x14ac:dyDescent="0.4">
      <c r="V505" s="20">
        <v>2020</v>
      </c>
      <c r="W505" s="20">
        <v>36532</v>
      </c>
    </row>
    <row r="506" spans="22:23" ht="15" thickBot="1" x14ac:dyDescent="0.4">
      <c r="V506" s="20">
        <v>2024</v>
      </c>
      <c r="W506" s="20">
        <v>36608</v>
      </c>
    </row>
    <row r="507" spans="22:23" ht="15" thickBot="1" x14ac:dyDescent="0.4">
      <c r="V507" s="20">
        <v>2028</v>
      </c>
      <c r="W507" s="20">
        <v>36683</v>
      </c>
    </row>
    <row r="508" spans="22:23" ht="15" thickBot="1" x14ac:dyDescent="0.4">
      <c r="V508" s="20">
        <v>2032</v>
      </c>
      <c r="W508" s="20">
        <v>36758</v>
      </c>
    </row>
    <row r="509" spans="22:23" ht="15" thickBot="1" x14ac:dyDescent="0.4">
      <c r="V509" s="20">
        <v>2036</v>
      </c>
      <c r="W509" s="20">
        <v>36833</v>
      </c>
    </row>
    <row r="510" spans="22:23" ht="15" thickBot="1" x14ac:dyDescent="0.4">
      <c r="V510" s="20">
        <v>2040</v>
      </c>
      <c r="W510" s="20">
        <v>36907</v>
      </c>
    </row>
    <row r="511" spans="22:23" ht="15" thickBot="1" x14ac:dyDescent="0.4">
      <c r="V511" s="20">
        <v>2044</v>
      </c>
      <c r="W511" s="20">
        <v>36982</v>
      </c>
    </row>
    <row r="512" spans="22:23" ht="15" thickBot="1" x14ac:dyDescent="0.4">
      <c r="V512" s="20">
        <v>2048</v>
      </c>
      <c r="W512" s="20">
        <v>37056</v>
      </c>
    </row>
    <row r="513" spans="22:23" ht="15" thickBot="1" x14ac:dyDescent="0.4">
      <c r="V513" s="20">
        <v>2052</v>
      </c>
      <c r="W513" s="20">
        <v>37130</v>
      </c>
    </row>
    <row r="514" spans="22:23" ht="15" thickBot="1" x14ac:dyDescent="0.4">
      <c r="V514" s="20">
        <v>2056</v>
      </c>
      <c r="W514" s="20">
        <v>37204</v>
      </c>
    </row>
    <row r="515" spans="22:23" ht="15" thickBot="1" x14ac:dyDescent="0.4">
      <c r="V515" s="20">
        <v>2060</v>
      </c>
      <c r="W515" s="20">
        <v>37278</v>
      </c>
    </row>
    <row r="516" spans="22:23" ht="15" thickBot="1" x14ac:dyDescent="0.4">
      <c r="V516" s="20">
        <v>2064</v>
      </c>
      <c r="W516" s="20">
        <v>37352</v>
      </c>
    </row>
    <row r="517" spans="22:23" ht="15" thickBot="1" x14ac:dyDescent="0.4">
      <c r="V517" s="20">
        <v>2068</v>
      </c>
      <c r="W517" s="20">
        <v>37426</v>
      </c>
    </row>
    <row r="518" spans="22:23" ht="15" thickBot="1" x14ac:dyDescent="0.4">
      <c r="V518" s="20">
        <v>2072</v>
      </c>
      <c r="W518" s="20">
        <v>37499</v>
      </c>
    </row>
    <row r="519" spans="22:23" ht="15" thickBot="1" x14ac:dyDescent="0.4">
      <c r="V519" s="20">
        <v>2076</v>
      </c>
      <c r="W519" s="20">
        <v>37573</v>
      </c>
    </row>
    <row r="520" spans="22:23" ht="15" thickBot="1" x14ac:dyDescent="0.4">
      <c r="V520" s="20">
        <v>2080</v>
      </c>
      <c r="W520" s="20">
        <v>37646</v>
      </c>
    </row>
    <row r="521" spans="22:23" ht="15" thickBot="1" x14ac:dyDescent="0.4">
      <c r="V521" s="20">
        <v>2084</v>
      </c>
      <c r="W521" s="20">
        <v>37719</v>
      </c>
    </row>
    <row r="522" spans="22:23" ht="15" thickBot="1" x14ac:dyDescent="0.4">
      <c r="V522" s="20">
        <v>2088</v>
      </c>
      <c r="W522" s="20">
        <v>37792</v>
      </c>
    </row>
    <row r="523" spans="22:23" ht="15" thickBot="1" x14ac:dyDescent="0.4">
      <c r="V523" s="20">
        <v>2092</v>
      </c>
      <c r="W523" s="20">
        <v>37864</v>
      </c>
    </row>
    <row r="524" spans="22:23" ht="15" thickBot="1" x14ac:dyDescent="0.4">
      <c r="V524" s="20">
        <v>2096</v>
      </c>
      <c r="W524" s="20">
        <v>37937</v>
      </c>
    </row>
    <row r="525" spans="22:23" ht="15" thickBot="1" x14ac:dyDescent="0.4">
      <c r="V525" s="20">
        <v>2100</v>
      </c>
      <c r="W525" s="20">
        <v>38009</v>
      </c>
    </row>
    <row r="526" spans="22:23" ht="15" thickBot="1" x14ac:dyDescent="0.4">
      <c r="V526" s="20">
        <v>2104</v>
      </c>
      <c r="W526" s="20">
        <v>38081</v>
      </c>
    </row>
    <row r="527" spans="22:23" ht="15" thickBot="1" x14ac:dyDescent="0.4">
      <c r="V527" s="20">
        <v>2108</v>
      </c>
      <c r="W527" s="20">
        <v>38153</v>
      </c>
    </row>
    <row r="528" spans="22:23" ht="15" thickBot="1" x14ac:dyDescent="0.4">
      <c r="V528" s="20">
        <v>2112</v>
      </c>
      <c r="W528" s="20">
        <v>38225</v>
      </c>
    </row>
    <row r="529" spans="22:23" ht="15" thickBot="1" x14ac:dyDescent="0.4">
      <c r="V529" s="20">
        <v>2116</v>
      </c>
      <c r="W529" s="20">
        <v>38297</v>
      </c>
    </row>
    <row r="530" spans="22:23" ht="15" thickBot="1" x14ac:dyDescent="0.4">
      <c r="V530" s="20">
        <v>2120</v>
      </c>
      <c r="W530" s="20">
        <v>38368</v>
      </c>
    </row>
    <row r="531" spans="22:23" ht="15" thickBot="1" x14ac:dyDescent="0.4">
      <c r="V531" s="20">
        <v>2124</v>
      </c>
      <c r="W531" s="20">
        <v>38440</v>
      </c>
    </row>
    <row r="532" spans="22:23" ht="15" thickBot="1" x14ac:dyDescent="0.4">
      <c r="V532" s="20">
        <v>2128</v>
      </c>
      <c r="W532" s="20">
        <v>38511</v>
      </c>
    </row>
    <row r="533" spans="22:23" ht="15" thickBot="1" x14ac:dyDescent="0.4">
      <c r="V533" s="20">
        <v>2132</v>
      </c>
      <c r="W533" s="20">
        <v>38582</v>
      </c>
    </row>
    <row r="534" spans="22:23" ht="15" thickBot="1" x14ac:dyDescent="0.4">
      <c r="V534" s="20">
        <v>2136</v>
      </c>
      <c r="W534" s="20">
        <v>38653</v>
      </c>
    </row>
    <row r="535" spans="22:23" ht="15" thickBot="1" x14ac:dyDescent="0.4">
      <c r="V535" s="20">
        <v>2140</v>
      </c>
      <c r="W535" s="20">
        <v>38724</v>
      </c>
    </row>
    <row r="536" spans="22:23" ht="15" thickBot="1" x14ac:dyDescent="0.4">
      <c r="V536" s="20">
        <v>2144</v>
      </c>
      <c r="W536" s="20">
        <v>38794</v>
      </c>
    </row>
    <row r="537" spans="22:23" ht="15" thickBot="1" x14ac:dyDescent="0.4">
      <c r="V537" s="20">
        <v>2148</v>
      </c>
      <c r="W537" s="20">
        <v>38864</v>
      </c>
    </row>
    <row r="538" spans="22:23" ht="15" thickBot="1" x14ac:dyDescent="0.4">
      <c r="V538" s="20">
        <v>2152</v>
      </c>
      <c r="W538" s="20">
        <v>38934</v>
      </c>
    </row>
    <row r="539" spans="22:23" ht="15" thickBot="1" x14ac:dyDescent="0.4">
      <c r="V539" s="20">
        <v>2156</v>
      </c>
      <c r="W539" s="20">
        <v>39004</v>
      </c>
    </row>
    <row r="540" spans="22:23" ht="15" thickBot="1" x14ac:dyDescent="0.4">
      <c r="V540" s="20">
        <v>2160</v>
      </c>
      <c r="W540" s="20">
        <v>39074</v>
      </c>
    </row>
    <row r="541" spans="22:23" ht="15" thickBot="1" x14ac:dyDescent="0.4">
      <c r="V541" s="20">
        <v>2164</v>
      </c>
      <c r="W541" s="20">
        <v>39144</v>
      </c>
    </row>
    <row r="542" spans="22:23" ht="15" thickBot="1" x14ac:dyDescent="0.4">
      <c r="V542" s="20">
        <v>2168</v>
      </c>
      <c r="W542" s="20">
        <v>39213</v>
      </c>
    </row>
    <row r="543" spans="22:23" ht="15" thickBot="1" x14ac:dyDescent="0.4">
      <c r="V543" s="20">
        <v>2172</v>
      </c>
      <c r="W543" s="20">
        <v>39282</v>
      </c>
    </row>
    <row r="544" spans="22:23" ht="15" thickBot="1" x14ac:dyDescent="0.4">
      <c r="V544" s="20">
        <v>2176</v>
      </c>
      <c r="W544" s="20">
        <v>39352</v>
      </c>
    </row>
    <row r="545" spans="22:23" ht="15" thickBot="1" x14ac:dyDescent="0.4">
      <c r="V545" s="20">
        <v>2180</v>
      </c>
      <c r="W545" s="20">
        <v>39420</v>
      </c>
    </row>
    <row r="546" spans="22:23" ht="15" thickBot="1" x14ac:dyDescent="0.4">
      <c r="V546" s="20">
        <v>2184</v>
      </c>
      <c r="W546" s="20">
        <v>39489</v>
      </c>
    </row>
    <row r="547" spans="22:23" ht="15" thickBot="1" x14ac:dyDescent="0.4">
      <c r="V547" s="20">
        <v>2188</v>
      </c>
      <c r="W547" s="20">
        <v>39558</v>
      </c>
    </row>
    <row r="548" spans="22:23" ht="15" thickBot="1" x14ac:dyDescent="0.4">
      <c r="V548" s="20">
        <v>2192</v>
      </c>
      <c r="W548" s="20">
        <v>39626</v>
      </c>
    </row>
    <row r="549" spans="22:23" ht="15" thickBot="1" x14ac:dyDescent="0.4">
      <c r="V549" s="20">
        <v>2196</v>
      </c>
      <c r="W549" s="20">
        <v>39694</v>
      </c>
    </row>
    <row r="550" spans="22:23" ht="15" thickBot="1" x14ac:dyDescent="0.4">
      <c r="V550" s="20">
        <v>2200</v>
      </c>
      <c r="W550" s="20">
        <v>39762</v>
      </c>
    </row>
    <row r="551" spans="22:23" ht="15" thickBot="1" x14ac:dyDescent="0.4">
      <c r="V551" s="20">
        <v>2204</v>
      </c>
      <c r="W551" s="20">
        <v>39829</v>
      </c>
    </row>
    <row r="552" spans="22:23" ht="15" thickBot="1" x14ac:dyDescent="0.4">
      <c r="V552" s="20">
        <v>2208</v>
      </c>
      <c r="W552" s="20">
        <v>39897</v>
      </c>
    </row>
    <row r="553" spans="22:23" ht="15" thickBot="1" x14ac:dyDescent="0.4">
      <c r="V553" s="20">
        <v>2212</v>
      </c>
      <c r="W553" s="20">
        <v>39964</v>
      </c>
    </row>
    <row r="554" spans="22:23" ht="15" thickBot="1" x14ac:dyDescent="0.4">
      <c r="V554" s="20">
        <v>2216</v>
      </c>
      <c r="W554" s="20">
        <v>40031</v>
      </c>
    </row>
    <row r="555" spans="22:23" ht="15" thickBot="1" x14ac:dyDescent="0.4">
      <c r="V555" s="20">
        <v>2220</v>
      </c>
      <c r="W555" s="20">
        <v>40098</v>
      </c>
    </row>
    <row r="556" spans="22:23" ht="15" thickBot="1" x14ac:dyDescent="0.4">
      <c r="V556" s="20">
        <v>2224</v>
      </c>
      <c r="W556" s="20">
        <v>40165</v>
      </c>
    </row>
    <row r="557" spans="22:23" ht="15" thickBot="1" x14ac:dyDescent="0.4">
      <c r="V557" s="20">
        <v>2228</v>
      </c>
      <c r="W557" s="20">
        <v>40231</v>
      </c>
    </row>
    <row r="558" spans="22:23" ht="15" thickBot="1" x14ac:dyDescent="0.4">
      <c r="V558" s="20">
        <v>2232</v>
      </c>
      <c r="W558" s="20">
        <v>40298</v>
      </c>
    </row>
    <row r="559" spans="22:23" ht="15" thickBot="1" x14ac:dyDescent="0.4">
      <c r="V559" s="20">
        <v>2236</v>
      </c>
      <c r="W559" s="20">
        <v>40364</v>
      </c>
    </row>
    <row r="560" spans="22:23" ht="15" thickBot="1" x14ac:dyDescent="0.4">
      <c r="V560" s="20">
        <v>2240</v>
      </c>
      <c r="W560" s="20">
        <v>40430</v>
      </c>
    </row>
    <row r="561" spans="22:23" ht="15" thickBot="1" x14ac:dyDescent="0.4">
      <c r="V561" s="20">
        <v>2244</v>
      </c>
      <c r="W561" s="20">
        <v>40495</v>
      </c>
    </row>
    <row r="562" spans="22:23" ht="15" thickBot="1" x14ac:dyDescent="0.4">
      <c r="V562" s="20">
        <v>2248</v>
      </c>
      <c r="W562" s="20">
        <v>40561</v>
      </c>
    </row>
    <row r="563" spans="22:23" ht="15" thickBot="1" x14ac:dyDescent="0.4">
      <c r="V563" s="20">
        <v>2252</v>
      </c>
      <c r="W563" s="20">
        <v>40626</v>
      </c>
    </row>
    <row r="564" spans="22:23" ht="15" thickBot="1" x14ac:dyDescent="0.4">
      <c r="V564" s="20">
        <v>2256</v>
      </c>
      <c r="W564" s="20">
        <v>40691</v>
      </c>
    </row>
    <row r="565" spans="22:23" ht="15" thickBot="1" x14ac:dyDescent="0.4">
      <c r="V565" s="20">
        <v>2260</v>
      </c>
      <c r="W565" s="20">
        <v>40756</v>
      </c>
    </row>
    <row r="566" spans="22:23" ht="15" thickBot="1" x14ac:dyDescent="0.4">
      <c r="V566" s="20">
        <v>2264</v>
      </c>
      <c r="W566" s="20">
        <v>40820</v>
      </c>
    </row>
    <row r="567" spans="22:23" ht="15" thickBot="1" x14ac:dyDescent="0.4">
      <c r="V567" s="20">
        <v>2268</v>
      </c>
      <c r="W567" s="20">
        <v>40884</v>
      </c>
    </row>
    <row r="568" spans="22:23" ht="15" thickBot="1" x14ac:dyDescent="0.4">
      <c r="V568" s="20">
        <v>2272</v>
      </c>
      <c r="W568" s="20">
        <v>40949</v>
      </c>
    </row>
    <row r="569" spans="22:23" ht="15" thickBot="1" x14ac:dyDescent="0.4">
      <c r="V569" s="20">
        <v>2276</v>
      </c>
      <c r="W569" s="20">
        <v>41012</v>
      </c>
    </row>
    <row r="570" spans="22:23" ht="15" thickBot="1" x14ac:dyDescent="0.4">
      <c r="V570" s="20">
        <v>2280</v>
      </c>
      <c r="W570" s="20">
        <v>41076</v>
      </c>
    </row>
    <row r="571" spans="22:23" ht="15" thickBot="1" x14ac:dyDescent="0.4">
      <c r="V571" s="20">
        <v>2284</v>
      </c>
      <c r="W571" s="20">
        <v>41140</v>
      </c>
    </row>
    <row r="572" spans="22:23" ht="15" thickBot="1" x14ac:dyDescent="0.4">
      <c r="V572" s="20">
        <v>2288</v>
      </c>
      <c r="W572" s="20">
        <v>41203</v>
      </c>
    </row>
    <row r="573" spans="22:23" ht="15" thickBot="1" x14ac:dyDescent="0.4">
      <c r="V573" s="20">
        <v>2292</v>
      </c>
      <c r="W573" s="20">
        <v>41266</v>
      </c>
    </row>
    <row r="574" spans="22:23" ht="15" thickBot="1" x14ac:dyDescent="0.4">
      <c r="V574" s="20">
        <v>2296</v>
      </c>
      <c r="W574" s="20">
        <v>41328</v>
      </c>
    </row>
    <row r="575" spans="22:23" ht="15" thickBot="1" x14ac:dyDescent="0.4">
      <c r="V575" s="20">
        <v>2300</v>
      </c>
      <c r="W575" s="20">
        <v>41391</v>
      </c>
    </row>
    <row r="576" spans="22:23" ht="15" thickBot="1" x14ac:dyDescent="0.4">
      <c r="V576" s="20">
        <v>2304</v>
      </c>
      <c r="W576" s="20">
        <v>41453</v>
      </c>
    </row>
    <row r="577" spans="22:23" ht="15" thickBot="1" x14ac:dyDescent="0.4">
      <c r="V577" s="20">
        <v>2308</v>
      </c>
      <c r="W577" s="20">
        <v>41515</v>
      </c>
    </row>
    <row r="578" spans="22:23" ht="15" thickBot="1" x14ac:dyDescent="0.4">
      <c r="V578" s="20">
        <v>2312</v>
      </c>
      <c r="W578" s="20">
        <v>41577</v>
      </c>
    </row>
    <row r="579" spans="22:23" ht="15" thickBot="1" x14ac:dyDescent="0.4">
      <c r="V579" s="20">
        <v>2316</v>
      </c>
      <c r="W579" s="20">
        <v>41638</v>
      </c>
    </row>
    <row r="580" spans="22:23" ht="15" thickBot="1" x14ac:dyDescent="0.4">
      <c r="V580" s="20">
        <v>2320</v>
      </c>
      <c r="W580" s="20">
        <v>41700</v>
      </c>
    </row>
    <row r="581" spans="22:23" ht="15" thickBot="1" x14ac:dyDescent="0.4">
      <c r="V581" s="20">
        <v>2324</v>
      </c>
      <c r="W581" s="20">
        <v>41761</v>
      </c>
    </row>
    <row r="582" spans="22:23" ht="15" thickBot="1" x14ac:dyDescent="0.4">
      <c r="V582" s="20">
        <v>2328</v>
      </c>
      <c r="W582" s="20">
        <v>41821</v>
      </c>
    </row>
    <row r="583" spans="22:23" ht="15" thickBot="1" x14ac:dyDescent="0.4">
      <c r="V583" s="20">
        <v>2332</v>
      </c>
      <c r="W583" s="20">
        <v>41882</v>
      </c>
    </row>
    <row r="584" spans="22:23" ht="15" thickBot="1" x14ac:dyDescent="0.4">
      <c r="V584" s="20">
        <v>2336</v>
      </c>
      <c r="W584" s="20">
        <v>41942</v>
      </c>
    </row>
    <row r="585" spans="22:23" ht="15" thickBot="1" x14ac:dyDescent="0.4">
      <c r="V585" s="20">
        <v>2340</v>
      </c>
      <c r="W585" s="20">
        <v>42002</v>
      </c>
    </row>
    <row r="586" spans="22:23" ht="15" thickBot="1" x14ac:dyDescent="0.4">
      <c r="V586" s="20">
        <v>2344</v>
      </c>
      <c r="W586" s="20">
        <v>42062</v>
      </c>
    </row>
    <row r="587" spans="22:23" ht="15" thickBot="1" x14ac:dyDescent="0.4">
      <c r="V587" s="20">
        <v>2348</v>
      </c>
      <c r="W587" s="20">
        <v>42121</v>
      </c>
    </row>
    <row r="588" spans="22:23" ht="15" thickBot="1" x14ac:dyDescent="0.4">
      <c r="V588" s="20">
        <v>2352</v>
      </c>
      <c r="W588" s="20">
        <v>42181</v>
      </c>
    </row>
    <row r="589" spans="22:23" ht="15" thickBot="1" x14ac:dyDescent="0.4">
      <c r="V589" s="20">
        <v>2356</v>
      </c>
      <c r="W589" s="20">
        <v>42240</v>
      </c>
    </row>
    <row r="590" spans="22:23" ht="15" thickBot="1" x14ac:dyDescent="0.4">
      <c r="V590" s="20">
        <v>2360</v>
      </c>
      <c r="W590" s="20">
        <v>42298</v>
      </c>
    </row>
    <row r="591" spans="22:23" ht="15" thickBot="1" x14ac:dyDescent="0.4">
      <c r="V591" s="20">
        <v>2364</v>
      </c>
      <c r="W591" s="20">
        <v>42357</v>
      </c>
    </row>
    <row r="592" spans="22:23" ht="15" thickBot="1" x14ac:dyDescent="0.4">
      <c r="V592" s="20">
        <v>2368</v>
      </c>
      <c r="W592" s="20">
        <v>42415</v>
      </c>
    </row>
    <row r="593" spans="22:23" ht="15" thickBot="1" x14ac:dyDescent="0.4">
      <c r="V593" s="20">
        <v>2372</v>
      </c>
      <c r="W593" s="20">
        <v>42473</v>
      </c>
    </row>
    <row r="594" spans="22:23" ht="15" thickBot="1" x14ac:dyDescent="0.4">
      <c r="V594" s="20">
        <v>2376</v>
      </c>
      <c r="W594" s="20">
        <v>42530</v>
      </c>
    </row>
    <row r="595" spans="22:23" ht="15" thickBot="1" x14ac:dyDescent="0.4">
      <c r="V595" s="20">
        <v>2380</v>
      </c>
      <c r="W595" s="20">
        <v>42587</v>
      </c>
    </row>
    <row r="596" spans="22:23" ht="15" thickBot="1" x14ac:dyDescent="0.4">
      <c r="V596" s="20">
        <v>2384</v>
      </c>
      <c r="W596" s="20">
        <v>42644</v>
      </c>
    </row>
    <row r="597" spans="22:23" ht="15" thickBot="1" x14ac:dyDescent="0.4">
      <c r="V597" s="20">
        <v>2388</v>
      </c>
      <c r="W597" s="20">
        <v>42701</v>
      </c>
    </row>
    <row r="598" spans="22:23" ht="15" thickBot="1" x14ac:dyDescent="0.4">
      <c r="V598" s="20">
        <v>2392</v>
      </c>
      <c r="W598" s="20">
        <v>42758</v>
      </c>
    </row>
    <row r="599" spans="22:23" ht="15" thickBot="1" x14ac:dyDescent="0.4">
      <c r="V599" s="20">
        <v>2396</v>
      </c>
      <c r="W599" s="20">
        <v>42814</v>
      </c>
    </row>
    <row r="600" spans="22:23" ht="15" thickBot="1" x14ac:dyDescent="0.4">
      <c r="V600" s="20">
        <v>2400</v>
      </c>
      <c r="W600" s="20">
        <v>42870</v>
      </c>
    </row>
    <row r="601" spans="22:23" ht="15" thickBot="1" x14ac:dyDescent="0.4">
      <c r="V601" s="20">
        <v>2404</v>
      </c>
      <c r="W601" s="20">
        <v>42925</v>
      </c>
    </row>
    <row r="602" spans="22:23" ht="15" thickBot="1" x14ac:dyDescent="0.4">
      <c r="V602" s="20">
        <v>2408</v>
      </c>
      <c r="W602" s="20">
        <v>42980</v>
      </c>
    </row>
    <row r="603" spans="22:23" ht="15" thickBot="1" x14ac:dyDescent="0.4">
      <c r="V603" s="20">
        <v>2412</v>
      </c>
      <c r="W603" s="20">
        <v>43035</v>
      </c>
    </row>
    <row r="604" spans="22:23" ht="15" thickBot="1" x14ac:dyDescent="0.4">
      <c r="V604" s="20">
        <v>2416</v>
      </c>
      <c r="W604" s="20">
        <v>43090</v>
      </c>
    </row>
    <row r="605" spans="22:23" ht="15" thickBot="1" x14ac:dyDescent="0.4">
      <c r="V605" s="20">
        <v>2420</v>
      </c>
      <c r="W605" s="20">
        <v>43144</v>
      </c>
    </row>
    <row r="606" spans="22:23" ht="15" thickBot="1" x14ac:dyDescent="0.4">
      <c r="V606" s="20">
        <v>2424</v>
      </c>
      <c r="W606" s="20">
        <v>43199</v>
      </c>
    </row>
    <row r="607" spans="22:23" ht="15" thickBot="1" x14ac:dyDescent="0.4">
      <c r="V607" s="20">
        <v>2428</v>
      </c>
      <c r="W607" s="20">
        <v>43252</v>
      </c>
    </row>
    <row r="608" spans="22:23" ht="15" thickBot="1" x14ac:dyDescent="0.4">
      <c r="V608" s="20">
        <v>2432</v>
      </c>
      <c r="W608" s="20">
        <v>43306</v>
      </c>
    </row>
    <row r="609" spans="22:23" ht="15" thickBot="1" x14ac:dyDescent="0.4">
      <c r="V609" s="20">
        <v>2436</v>
      </c>
      <c r="W609" s="20">
        <v>43359</v>
      </c>
    </row>
    <row r="610" spans="22:23" ht="15" thickBot="1" x14ac:dyDescent="0.4">
      <c r="V610" s="20">
        <v>2440</v>
      </c>
      <c r="W610" s="20">
        <v>43412</v>
      </c>
    </row>
    <row r="611" spans="22:23" ht="15" thickBot="1" x14ac:dyDescent="0.4">
      <c r="V611" s="20">
        <v>2444</v>
      </c>
      <c r="W611" s="20">
        <v>43464</v>
      </c>
    </row>
    <row r="612" spans="22:23" ht="15" thickBot="1" x14ac:dyDescent="0.4">
      <c r="V612" s="20">
        <v>2448</v>
      </c>
      <c r="W612" s="20">
        <v>43516</v>
      </c>
    </row>
    <row r="613" spans="22:23" ht="15" thickBot="1" x14ac:dyDescent="0.4">
      <c r="V613" s="20">
        <v>2452</v>
      </c>
      <c r="W613" s="20">
        <v>43568</v>
      </c>
    </row>
    <row r="614" spans="22:23" ht="15" thickBot="1" x14ac:dyDescent="0.4">
      <c r="V614" s="20">
        <v>2456</v>
      </c>
      <c r="W614" s="20">
        <v>43619</v>
      </c>
    </row>
    <row r="615" spans="22:23" ht="15" thickBot="1" x14ac:dyDescent="0.4">
      <c r="V615" s="20">
        <v>2460</v>
      </c>
      <c r="W615" s="20">
        <v>43670</v>
      </c>
    </row>
    <row r="616" spans="22:23" ht="15" thickBot="1" x14ac:dyDescent="0.4">
      <c r="V616" s="20">
        <v>2464</v>
      </c>
      <c r="W616" s="20">
        <v>43721</v>
      </c>
    </row>
    <row r="617" spans="22:23" ht="15" thickBot="1" x14ac:dyDescent="0.4">
      <c r="V617" s="20">
        <v>2468</v>
      </c>
      <c r="W617" s="20">
        <v>43772</v>
      </c>
    </row>
    <row r="618" spans="22:23" ht="15" thickBot="1" x14ac:dyDescent="0.4">
      <c r="V618" s="20">
        <v>2472</v>
      </c>
      <c r="W618" s="20">
        <v>43822</v>
      </c>
    </row>
    <row r="619" spans="22:23" ht="15" thickBot="1" x14ac:dyDescent="0.4">
      <c r="V619" s="20">
        <v>2476</v>
      </c>
      <c r="W619" s="20">
        <v>43871</v>
      </c>
    </row>
    <row r="620" spans="22:23" ht="15" thickBot="1" x14ac:dyDescent="0.4">
      <c r="V620" s="20">
        <v>2480</v>
      </c>
      <c r="W620" s="20">
        <v>43921</v>
      </c>
    </row>
    <row r="621" spans="22:23" ht="15" thickBot="1" x14ac:dyDescent="0.4">
      <c r="V621" s="20">
        <v>2484</v>
      </c>
      <c r="W621" s="20">
        <v>43970</v>
      </c>
    </row>
    <row r="622" spans="22:23" ht="15" thickBot="1" x14ac:dyDescent="0.4">
      <c r="V622" s="20">
        <v>2488</v>
      </c>
      <c r="W622" s="20">
        <v>44019</v>
      </c>
    </row>
    <row r="623" spans="22:23" ht="15" thickBot="1" x14ac:dyDescent="0.4">
      <c r="V623" s="20">
        <v>2492</v>
      </c>
      <c r="W623" s="20">
        <v>44067</v>
      </c>
    </row>
    <row r="624" spans="22:23" ht="15" thickBot="1" x14ac:dyDescent="0.4">
      <c r="V624" s="20">
        <v>2496</v>
      </c>
      <c r="W624" s="20">
        <v>44115</v>
      </c>
    </row>
    <row r="625" spans="22:23" ht="15" thickBot="1" x14ac:dyDescent="0.4">
      <c r="V625" s="20">
        <v>2500</v>
      </c>
      <c r="W625" s="20">
        <v>44162</v>
      </c>
    </row>
    <row r="626" spans="22:23" ht="15" thickBot="1" x14ac:dyDescent="0.4">
      <c r="V626" s="20">
        <v>2504</v>
      </c>
      <c r="W626" s="20">
        <v>44209</v>
      </c>
    </row>
    <row r="627" spans="22:23" ht="15" thickBot="1" x14ac:dyDescent="0.4">
      <c r="V627" s="20">
        <v>2508</v>
      </c>
      <c r="W627" s="20">
        <v>44256</v>
      </c>
    </row>
    <row r="628" spans="22:23" ht="15" thickBot="1" x14ac:dyDescent="0.4">
      <c r="V628" s="20">
        <v>2512</v>
      </c>
      <c r="W628" s="20">
        <v>44303</v>
      </c>
    </row>
    <row r="629" spans="22:23" ht="15" thickBot="1" x14ac:dyDescent="0.4">
      <c r="V629" s="20">
        <v>2516</v>
      </c>
      <c r="W629" s="20">
        <v>44349</v>
      </c>
    </row>
    <row r="630" spans="22:23" ht="15" thickBot="1" x14ac:dyDescent="0.4">
      <c r="V630" s="20">
        <v>2520</v>
      </c>
      <c r="W630" s="20">
        <v>44394</v>
      </c>
    </row>
    <row r="631" spans="22:23" ht="15" thickBot="1" x14ac:dyDescent="0.4">
      <c r="V631" s="20">
        <v>2524</v>
      </c>
      <c r="W631" s="20">
        <v>44439</v>
      </c>
    </row>
    <row r="632" spans="22:23" ht="15" thickBot="1" x14ac:dyDescent="0.4">
      <c r="V632" s="20">
        <v>2528</v>
      </c>
      <c r="W632" s="20">
        <v>44484</v>
      </c>
    </row>
    <row r="633" spans="22:23" ht="15" thickBot="1" x14ac:dyDescent="0.4">
      <c r="V633" s="20">
        <v>2532</v>
      </c>
      <c r="W633" s="20">
        <v>44528</v>
      </c>
    </row>
    <row r="634" spans="22:23" ht="15" thickBot="1" x14ac:dyDescent="0.4">
      <c r="V634" s="20">
        <v>2536</v>
      </c>
      <c r="W634" s="20">
        <v>44572</v>
      </c>
    </row>
    <row r="635" spans="22:23" ht="15" thickBot="1" x14ac:dyDescent="0.4">
      <c r="V635" s="20">
        <v>2540</v>
      </c>
      <c r="W635" s="20">
        <v>44616</v>
      </c>
    </row>
    <row r="636" spans="22:23" ht="15" thickBot="1" x14ac:dyDescent="0.4">
      <c r="V636" s="20">
        <v>2544</v>
      </c>
      <c r="W636" s="20">
        <v>44659</v>
      </c>
    </row>
    <row r="637" spans="22:23" ht="15" thickBot="1" x14ac:dyDescent="0.4">
      <c r="V637" s="20">
        <v>2548</v>
      </c>
      <c r="W637" s="20">
        <v>44702</v>
      </c>
    </row>
    <row r="638" spans="22:23" ht="15" thickBot="1" x14ac:dyDescent="0.4">
      <c r="V638" s="20">
        <v>2552</v>
      </c>
      <c r="W638" s="20">
        <v>44744</v>
      </c>
    </row>
    <row r="639" spans="22:23" ht="15" thickBot="1" x14ac:dyDescent="0.4">
      <c r="V639" s="20">
        <v>2556</v>
      </c>
      <c r="W639" s="20">
        <v>44786</v>
      </c>
    </row>
    <row r="640" spans="22:23" ht="15" thickBot="1" x14ac:dyDescent="0.4">
      <c r="V640" s="20">
        <v>2560</v>
      </c>
      <c r="W640" s="20">
        <v>44827</v>
      </c>
    </row>
    <row r="641" spans="22:23" ht="15" thickBot="1" x14ac:dyDescent="0.4">
      <c r="V641" s="20">
        <v>2564</v>
      </c>
      <c r="W641" s="20">
        <v>44868</v>
      </c>
    </row>
    <row r="642" spans="22:23" ht="15" thickBot="1" x14ac:dyDescent="0.4">
      <c r="V642" s="20">
        <v>2568</v>
      </c>
      <c r="W642" s="20">
        <v>44908</v>
      </c>
    </row>
    <row r="643" spans="22:23" ht="15" thickBot="1" x14ac:dyDescent="0.4">
      <c r="V643" s="20">
        <v>2572</v>
      </c>
      <c r="W643" s="20">
        <v>44948</v>
      </c>
    </row>
    <row r="644" spans="22:23" ht="15" thickBot="1" x14ac:dyDescent="0.4">
      <c r="V644" s="20">
        <v>2576</v>
      </c>
      <c r="W644" s="20">
        <v>44988</v>
      </c>
    </row>
    <row r="645" spans="22:23" ht="15" thickBot="1" x14ac:dyDescent="0.4">
      <c r="V645" s="20">
        <v>2580</v>
      </c>
      <c r="W645" s="20">
        <v>45026</v>
      </c>
    </row>
    <row r="646" spans="22:23" ht="15" thickBot="1" x14ac:dyDescent="0.4">
      <c r="V646" s="20">
        <v>2584</v>
      </c>
      <c r="W646" s="20">
        <v>45065</v>
      </c>
    </row>
    <row r="647" spans="22:23" ht="15" thickBot="1" x14ac:dyDescent="0.4">
      <c r="V647" s="20">
        <v>2588</v>
      </c>
      <c r="W647" s="20">
        <v>45103</v>
      </c>
    </row>
    <row r="648" spans="22:23" ht="15" thickBot="1" x14ac:dyDescent="0.4">
      <c r="V648" s="20">
        <v>2592</v>
      </c>
      <c r="W648" s="20">
        <v>45140</v>
      </c>
    </row>
    <row r="649" spans="22:23" ht="15" thickBot="1" x14ac:dyDescent="0.4">
      <c r="V649" s="20">
        <v>2596</v>
      </c>
      <c r="W649" s="20">
        <v>45177</v>
      </c>
    </row>
    <row r="650" spans="22:23" ht="15" thickBot="1" x14ac:dyDescent="0.4">
      <c r="V650" s="20">
        <v>2600</v>
      </c>
      <c r="W650" s="20">
        <v>45214</v>
      </c>
    </row>
    <row r="651" spans="22:23" ht="15" thickBot="1" x14ac:dyDescent="0.4">
      <c r="V651" s="20">
        <v>2604</v>
      </c>
      <c r="W651" s="20">
        <v>45249</v>
      </c>
    </row>
    <row r="652" spans="22:23" ht="15" thickBot="1" x14ac:dyDescent="0.4">
      <c r="V652" s="20">
        <v>2608</v>
      </c>
      <c r="W652" s="20">
        <v>45285</v>
      </c>
    </row>
    <row r="653" spans="22:23" ht="15" thickBot="1" x14ac:dyDescent="0.4">
      <c r="V653" s="20">
        <v>2612</v>
      </c>
      <c r="W653" s="20">
        <v>45319</v>
      </c>
    </row>
    <row r="654" spans="22:23" ht="15" thickBot="1" x14ac:dyDescent="0.4">
      <c r="V654" s="20">
        <v>2616</v>
      </c>
      <c r="W654" s="20">
        <v>45354</v>
      </c>
    </row>
    <row r="655" spans="22:23" ht="15" thickBot="1" x14ac:dyDescent="0.4">
      <c r="V655" s="20">
        <v>2620</v>
      </c>
      <c r="W655" s="20">
        <v>45387</v>
      </c>
    </row>
    <row r="656" spans="22:23" ht="15" thickBot="1" x14ac:dyDescent="0.4">
      <c r="V656" s="20">
        <v>2624</v>
      </c>
      <c r="W656" s="20">
        <v>45420</v>
      </c>
    </row>
    <row r="657" spans="22:23" ht="15" thickBot="1" x14ac:dyDescent="0.4">
      <c r="V657" s="20">
        <v>2628</v>
      </c>
      <c r="W657" s="20">
        <v>45452</v>
      </c>
    </row>
    <row r="658" spans="22:23" ht="15" thickBot="1" x14ac:dyDescent="0.4">
      <c r="V658" s="20">
        <v>2632</v>
      </c>
      <c r="W658" s="20">
        <v>45484</v>
      </c>
    </row>
    <row r="659" spans="22:23" ht="15" thickBot="1" x14ac:dyDescent="0.4">
      <c r="V659" s="20">
        <v>2636</v>
      </c>
      <c r="W659" s="20">
        <v>45515</v>
      </c>
    </row>
    <row r="660" spans="22:23" ht="15" thickBot="1" x14ac:dyDescent="0.4">
      <c r="V660" s="20">
        <v>2640</v>
      </c>
      <c r="W660" s="20">
        <v>45546</v>
      </c>
    </row>
    <row r="661" spans="22:23" ht="15" thickBot="1" x14ac:dyDescent="0.4">
      <c r="V661" s="20">
        <v>2644</v>
      </c>
      <c r="W661" s="20">
        <v>45576</v>
      </c>
    </row>
    <row r="662" spans="22:23" ht="15" thickBot="1" x14ac:dyDescent="0.4">
      <c r="V662" s="20">
        <v>2648</v>
      </c>
      <c r="W662" s="20">
        <v>45605</v>
      </c>
    </row>
    <row r="663" spans="22:23" ht="15" thickBot="1" x14ac:dyDescent="0.4">
      <c r="V663" s="20">
        <v>2652</v>
      </c>
      <c r="W663" s="20">
        <v>45633</v>
      </c>
    </row>
    <row r="664" spans="22:23" ht="15" thickBot="1" x14ac:dyDescent="0.4">
      <c r="V664" s="20">
        <v>2656</v>
      </c>
      <c r="W664" s="20">
        <v>45661</v>
      </c>
    </row>
    <row r="665" spans="22:23" ht="15" thickBot="1" x14ac:dyDescent="0.4">
      <c r="V665" s="20">
        <v>2660</v>
      </c>
      <c r="W665" s="20">
        <v>45688</v>
      </c>
    </row>
    <row r="666" spans="22:23" ht="15" thickBot="1" x14ac:dyDescent="0.4">
      <c r="V666" s="20">
        <v>2664</v>
      </c>
      <c r="W666" s="20">
        <v>45714</v>
      </c>
    </row>
    <row r="667" spans="22:23" ht="15" thickBot="1" x14ac:dyDescent="0.4">
      <c r="V667" s="20">
        <v>2668</v>
      </c>
      <c r="W667" s="20">
        <v>45739</v>
      </c>
    </row>
    <row r="668" spans="22:23" ht="15" thickBot="1" x14ac:dyDescent="0.4">
      <c r="V668" s="20">
        <v>2672</v>
      </c>
      <c r="W668" s="20">
        <v>45764</v>
      </c>
    </row>
    <row r="669" spans="22:23" ht="15" thickBot="1" x14ac:dyDescent="0.4">
      <c r="V669" s="20">
        <v>2676</v>
      </c>
      <c r="W669" s="20">
        <v>45788</v>
      </c>
    </row>
    <row r="670" spans="22:23" ht="15" thickBot="1" x14ac:dyDescent="0.4">
      <c r="V670" s="20">
        <v>2680</v>
      </c>
      <c r="W670" s="20">
        <v>45810</v>
      </c>
    </row>
    <row r="671" spans="22:23" ht="15" thickBot="1" x14ac:dyDescent="0.4">
      <c r="V671" s="20">
        <v>2684</v>
      </c>
      <c r="W671" s="20">
        <v>45832</v>
      </c>
    </row>
    <row r="672" spans="22:23" ht="15" thickBot="1" x14ac:dyDescent="0.4">
      <c r="V672" s="20">
        <v>2688</v>
      </c>
      <c r="W672" s="20">
        <v>45853</v>
      </c>
    </row>
    <row r="673" spans="22:23" ht="15" thickBot="1" x14ac:dyDescent="0.4">
      <c r="V673" s="20">
        <v>2692</v>
      </c>
      <c r="W673" s="20">
        <v>45873</v>
      </c>
    </row>
    <row r="674" spans="22:23" ht="15" thickBot="1" x14ac:dyDescent="0.4">
      <c r="V674" s="20">
        <v>2696</v>
      </c>
      <c r="W674" s="20">
        <v>45892</v>
      </c>
    </row>
    <row r="675" spans="22:23" ht="15" thickBot="1" x14ac:dyDescent="0.4">
      <c r="V675" s="20">
        <v>2700</v>
      </c>
      <c r="W675" s="20">
        <v>45910</v>
      </c>
    </row>
    <row r="676" spans="22:23" ht="15" thickBot="1" x14ac:dyDescent="0.4">
      <c r="V676" s="20">
        <v>2704</v>
      </c>
      <c r="W676" s="20">
        <v>45926</v>
      </c>
    </row>
    <row r="677" spans="22:23" ht="15" thickBot="1" x14ac:dyDescent="0.4">
      <c r="V677" s="20">
        <v>2708</v>
      </c>
      <c r="W677" s="20">
        <v>45941</v>
      </c>
    </row>
    <row r="678" spans="22:23" ht="15" thickBot="1" x14ac:dyDescent="0.4">
      <c r="V678" s="20">
        <v>2712</v>
      </c>
      <c r="W678" s="20">
        <v>45955</v>
      </c>
    </row>
    <row r="679" spans="22:23" ht="15" thickBot="1" x14ac:dyDescent="0.4">
      <c r="V679" s="20">
        <v>2716</v>
      </c>
      <c r="W679" s="20">
        <v>45967</v>
      </c>
    </row>
    <row r="680" spans="22:23" ht="15" thickBot="1" x14ac:dyDescent="0.4">
      <c r="V680" s="20">
        <v>2720</v>
      </c>
      <c r="W680" s="20">
        <v>45977</v>
      </c>
    </row>
    <row r="681" spans="22:23" ht="15" thickBot="1" x14ac:dyDescent="0.4">
      <c r="V681" s="20">
        <v>2724</v>
      </c>
      <c r="W681" s="20">
        <v>45985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36:E41"/>
  </mergeCells>
  <pageMargins left="0.7" right="0.7" top="0.75" bottom="0.75" header="0.3" footer="0.3"/>
  <ignoredErrors>
    <ignoredError sqref="I14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A4F9-1DDE-4196-8EB0-946EEAF9035E}">
  <sheetPr codeName="Sheet5"/>
  <dimension ref="A1:K32"/>
  <sheetViews>
    <sheetView topLeftCell="A16" workbookViewId="0">
      <selection activeCell="N15" sqref="N15"/>
    </sheetView>
  </sheetViews>
  <sheetFormatPr defaultRowHeight="14.5" x14ac:dyDescent="0.35"/>
  <cols>
    <col min="1" max="1" width="10.08984375" bestFit="1" customWidth="1"/>
    <col min="2" max="2" width="12.6328125" hidden="1" customWidth="1"/>
    <col min="3" max="7" width="12.6328125" customWidth="1"/>
    <col min="8" max="8" width="14" customWidth="1"/>
    <col min="9" max="9" width="12.6328125" customWidth="1"/>
    <col min="10" max="10" width="14.6328125" customWidth="1"/>
    <col min="11" max="11" width="11.81640625" customWidth="1"/>
  </cols>
  <sheetData>
    <row r="1" spans="1:11" ht="43.5" x14ac:dyDescent="0.35">
      <c r="A1" s="1" t="s">
        <v>0</v>
      </c>
      <c r="B1" s="2" t="s">
        <v>19</v>
      </c>
      <c r="C1" s="2" t="s">
        <v>33</v>
      </c>
      <c r="D1" s="2" t="s">
        <v>34</v>
      </c>
      <c r="E1" s="2" t="s">
        <v>35</v>
      </c>
      <c r="F1" s="2" t="s">
        <v>71</v>
      </c>
      <c r="G1" s="16" t="s">
        <v>69</v>
      </c>
      <c r="H1" s="16" t="s">
        <v>73</v>
      </c>
      <c r="I1" s="16" t="s">
        <v>70</v>
      </c>
      <c r="J1" s="16" t="s">
        <v>74</v>
      </c>
      <c r="K1" s="16" t="s">
        <v>72</v>
      </c>
    </row>
    <row r="2" spans="1:11" ht="18" customHeight="1" x14ac:dyDescent="0.35">
      <c r="A2" s="4">
        <v>46174</v>
      </c>
      <c r="B2" s="5" t="s">
        <v>36</v>
      </c>
      <c r="C2" s="5">
        <f>'PowerHouse Data'!C3</f>
        <v>23758960</v>
      </c>
      <c r="D2" s="7">
        <f>'PowerHouse Data'!$D$3</f>
        <v>23764530</v>
      </c>
      <c r="E2" s="5">
        <f>Table1135[[#This Row],[NEPA FINAL]]-Table1135[[#This Row],[NEPA INITIAL ]]</f>
        <v>5570</v>
      </c>
      <c r="F2" s="21" t="e">
        <f>(Table1135[[#This Row],[MILLING]]-G1)+(Table1135[[#This Row],[UTILITY / PARBOILING]]-I1)</f>
        <v>#VALUE!</v>
      </c>
      <c r="G2" s="5">
        <f>'PowerHouse Data'!$D$13</f>
        <v>0</v>
      </c>
      <c r="H2" s="21" t="e">
        <f>Table1135[[#This Row],[MILLING]]-G1</f>
        <v>#VALUE!</v>
      </c>
      <c r="I2" s="5">
        <f>'PowerHouse Data'!$D$14</f>
        <v>0</v>
      </c>
      <c r="J2" s="21" t="e">
        <f>Table1135[[#This Row],[UTILITY / PARBOILING]]-I1</f>
        <v>#VALUE!</v>
      </c>
      <c r="K2" s="21" t="e">
        <f>Table1135[[#This Row],[NEPA Consumption (KWH)]]-Table1135[[#This Row],[MILLING + UTILITY / PARBOILING]]</f>
        <v>#VALUE!</v>
      </c>
    </row>
    <row r="3" spans="1:11" ht="18" customHeight="1" x14ac:dyDescent="0.35">
      <c r="A3" s="4">
        <v>46175</v>
      </c>
      <c r="B3" s="5" t="s">
        <v>36</v>
      </c>
      <c r="C3" s="5">
        <f t="shared" ref="C3:C31" si="0">D2</f>
        <v>23764530</v>
      </c>
      <c r="D3" s="7">
        <f>'PowerHouse Data'!$E$3</f>
        <v>23775430</v>
      </c>
      <c r="E3" s="5">
        <f>Table1135[[#This Row],[NEPA FINAL]]-Table1135[[#This Row],[NEPA INITIAL ]]</f>
        <v>10900</v>
      </c>
      <c r="F3" s="21">
        <f>(Table1135[[#This Row],[MILLING]]-G2)+(Table1135[[#This Row],[UTILITY / PARBOILING]]-I2)</f>
        <v>0</v>
      </c>
      <c r="G3" s="21">
        <f>'PowerHouse Data'!$E$13</f>
        <v>0</v>
      </c>
      <c r="H3" s="21">
        <f>Table1135[[#This Row],[MILLING]]-G2</f>
        <v>0</v>
      </c>
      <c r="I3" s="21">
        <f>'PowerHouse Data'!$E$14</f>
        <v>0</v>
      </c>
      <c r="J3" s="21">
        <f>Table1135[[#This Row],[UTILITY / PARBOILING]]-I2</f>
        <v>0</v>
      </c>
      <c r="K3" s="21">
        <f>Table1135[[#This Row],[NEPA Consumption (KWH)]]-Table1135[[#This Row],[MILLING + UTILITY / PARBOILING]]</f>
        <v>10900</v>
      </c>
    </row>
    <row r="4" spans="1:11" ht="18" customHeight="1" x14ac:dyDescent="0.35">
      <c r="A4" s="4">
        <v>46176</v>
      </c>
      <c r="B4" s="5" t="s">
        <v>36</v>
      </c>
      <c r="C4" s="5">
        <f t="shared" si="0"/>
        <v>23775430</v>
      </c>
      <c r="D4" s="7">
        <f>'PowerHouse Data'!$F$3</f>
        <v>23784720</v>
      </c>
      <c r="E4" s="5">
        <f>Table1135[[#This Row],[NEPA FINAL]]-Table1135[[#This Row],[NEPA INITIAL ]]</f>
        <v>9290</v>
      </c>
      <c r="F4" s="21">
        <f>(Table1135[[#This Row],[MILLING]]-G3)+(Table1135[[#This Row],[UTILITY / PARBOILING]]-I3)</f>
        <v>0</v>
      </c>
      <c r="G4" s="21">
        <f>'PowerHouse Data'!$F$13</f>
        <v>0</v>
      </c>
      <c r="H4" s="21">
        <f>Table1135[[#This Row],[MILLING]]-G3</f>
        <v>0</v>
      </c>
      <c r="I4" s="21">
        <f>'PowerHouse Data'!$F$14</f>
        <v>0</v>
      </c>
      <c r="J4" s="21">
        <f>Table1135[[#This Row],[UTILITY / PARBOILING]]-I3</f>
        <v>0</v>
      </c>
      <c r="K4" s="21">
        <f>Table1135[[#This Row],[NEPA Consumption (KWH)]]-Table1135[[#This Row],[MILLING + UTILITY / PARBOILING]]</f>
        <v>9290</v>
      </c>
    </row>
    <row r="5" spans="1:11" ht="18" customHeight="1" x14ac:dyDescent="0.35">
      <c r="A5" s="4">
        <v>46177</v>
      </c>
      <c r="B5" s="5" t="s">
        <v>36</v>
      </c>
      <c r="C5" s="5">
        <f t="shared" si="0"/>
        <v>23784720</v>
      </c>
      <c r="D5" s="7">
        <f>'PowerHouse Data'!$G$3</f>
        <v>23796180</v>
      </c>
      <c r="E5" s="5">
        <f>Table1135[[#This Row],[NEPA FINAL]]-Table1135[[#This Row],[NEPA INITIAL ]]</f>
        <v>11460</v>
      </c>
      <c r="F5" s="21">
        <f>(Table1135[[#This Row],[MILLING]]-G4)+(Table1135[[#This Row],[UTILITY / PARBOILING]]-I4)</f>
        <v>0</v>
      </c>
      <c r="G5" s="21">
        <f>'PowerHouse Data'!$G$13</f>
        <v>0</v>
      </c>
      <c r="H5" s="21">
        <f>Table1135[[#This Row],[MILLING]]-G4</f>
        <v>0</v>
      </c>
      <c r="I5" s="21">
        <f>'PowerHouse Data'!$G$14</f>
        <v>0</v>
      </c>
      <c r="J5" s="21">
        <f>Table1135[[#This Row],[UTILITY / PARBOILING]]-I4</f>
        <v>0</v>
      </c>
      <c r="K5" s="21">
        <f>Table1135[[#This Row],[NEPA Consumption (KWH)]]-Table1135[[#This Row],[MILLING + UTILITY / PARBOILING]]</f>
        <v>11460</v>
      </c>
    </row>
    <row r="6" spans="1:11" ht="18" customHeight="1" x14ac:dyDescent="0.35">
      <c r="A6" s="4">
        <v>46178</v>
      </c>
      <c r="B6" s="5" t="s">
        <v>36</v>
      </c>
      <c r="C6" s="5">
        <f t="shared" si="0"/>
        <v>23796180</v>
      </c>
      <c r="D6" s="7">
        <f>'PowerHouse Data'!$H$3</f>
        <v>23808050</v>
      </c>
      <c r="E6" s="5">
        <f>Table1135[[#This Row],[NEPA FINAL]]-Table1135[[#This Row],[NEPA INITIAL ]]</f>
        <v>11870</v>
      </c>
      <c r="F6" s="21">
        <f>(Table1135[[#This Row],[MILLING]]-G5)+(Table1135[[#This Row],[UTILITY / PARBOILING]]-I5)</f>
        <v>3148348</v>
      </c>
      <c r="G6" s="21">
        <f>'PowerHouse Data'!$H$13</f>
        <v>2968086</v>
      </c>
      <c r="H6" s="21">
        <f>Table1135[[#This Row],[MILLING]]-G5</f>
        <v>2968086</v>
      </c>
      <c r="I6" s="21">
        <f>'PowerHouse Data'!$H$14</f>
        <v>180262</v>
      </c>
      <c r="J6" s="21">
        <f>Table1135[[#This Row],[UTILITY / PARBOILING]]-I5</f>
        <v>180262</v>
      </c>
      <c r="K6" s="21">
        <f>Table1135[[#This Row],[NEPA Consumption (KWH)]]-Table1135[[#This Row],[MILLING + UTILITY / PARBOILING]]</f>
        <v>-3136478</v>
      </c>
    </row>
    <row r="7" spans="1:11" ht="18" customHeight="1" x14ac:dyDescent="0.35">
      <c r="A7" s="4">
        <v>46179</v>
      </c>
      <c r="B7" s="5" t="s">
        <v>36</v>
      </c>
      <c r="C7" s="5">
        <f t="shared" si="0"/>
        <v>23808050</v>
      </c>
      <c r="D7" s="7">
        <f>'PowerHouse Data'!$I$3</f>
        <v>23818600</v>
      </c>
      <c r="E7" s="5">
        <f>Table1135[[#This Row],[NEPA FINAL]]-Table1135[[#This Row],[NEPA INITIAL ]]</f>
        <v>10550</v>
      </c>
      <c r="F7" s="21">
        <f>(Table1135[[#This Row],[MILLING]]-G6)+(Table1135[[#This Row],[UTILITY / PARBOILING]]-I6)</f>
        <v>17535</v>
      </c>
      <c r="G7" s="21">
        <f>'PowerHouse Data'!$I$13</f>
        <v>2980067</v>
      </c>
      <c r="H7" s="21">
        <f>Table1135[[#This Row],[MILLING]]-G6</f>
        <v>11981</v>
      </c>
      <c r="I7" s="21">
        <f>'PowerHouse Data'!$I$14</f>
        <v>185816</v>
      </c>
      <c r="J7" s="21">
        <f>Table1135[[#This Row],[UTILITY / PARBOILING]]-I6</f>
        <v>5554</v>
      </c>
      <c r="K7" s="21">
        <f>Table1135[[#This Row],[NEPA Consumption (KWH)]]-Table1135[[#This Row],[MILLING + UTILITY / PARBOILING]]</f>
        <v>-6985</v>
      </c>
    </row>
    <row r="8" spans="1:11" ht="18" customHeight="1" x14ac:dyDescent="0.35">
      <c r="A8" s="4">
        <v>46180</v>
      </c>
      <c r="B8" s="5" t="s">
        <v>36</v>
      </c>
      <c r="C8" s="5">
        <f t="shared" si="0"/>
        <v>23818600</v>
      </c>
      <c r="D8" s="7">
        <f>'PowerHouse Data'!$J$3</f>
        <v>23827940</v>
      </c>
      <c r="E8" s="5">
        <f>Table1135[[#This Row],[NEPA FINAL]]-Table1135[[#This Row],[NEPA INITIAL ]]</f>
        <v>9340</v>
      </c>
      <c r="F8" s="24">
        <f>(Table1135[[#This Row],[MILLING]]-G7)+(Table1135[[#This Row],[UTILITY / PARBOILING]]-I7)</f>
        <v>15514</v>
      </c>
      <c r="G8" s="24">
        <f>'PowerHouse Data'!$J$13</f>
        <v>2990744</v>
      </c>
      <c r="H8" s="24">
        <f>Table1135[[#This Row],[MILLING]]-G7</f>
        <v>10677</v>
      </c>
      <c r="I8" s="24">
        <f>'PowerHouse Data'!$J$14</f>
        <v>190653</v>
      </c>
      <c r="J8" s="24">
        <f>Table1135[[#This Row],[UTILITY / PARBOILING]]-I7</f>
        <v>4837</v>
      </c>
      <c r="K8" s="24">
        <f>Table1135[[#This Row],[NEPA Consumption (KWH)]]-Table1135[[#This Row],[MILLING + UTILITY / PARBOILING]]</f>
        <v>-6174</v>
      </c>
    </row>
    <row r="9" spans="1:11" ht="18" customHeight="1" x14ac:dyDescent="0.35">
      <c r="A9" s="4">
        <v>46181</v>
      </c>
      <c r="B9" s="5" t="s">
        <v>36</v>
      </c>
      <c r="C9" s="5">
        <f t="shared" si="0"/>
        <v>23827940</v>
      </c>
      <c r="D9" s="7">
        <f>'PowerHouse Data'!$K$3</f>
        <v>23831550</v>
      </c>
      <c r="E9" s="5">
        <f>Table1135[[#This Row],[NEPA FINAL]]-Table1135[[#This Row],[NEPA INITIAL ]]</f>
        <v>3610</v>
      </c>
      <c r="F9" s="21">
        <f>(Table1135[[#This Row],[MILLING]]-G8)+(Table1135[[#This Row],[UTILITY / PARBOILING]]-I8)</f>
        <v>4704</v>
      </c>
      <c r="G9" s="21">
        <f>'PowerHouse Data'!$K$13</f>
        <v>2991037</v>
      </c>
      <c r="H9" s="21">
        <f>Table1135[[#This Row],[MILLING]]-G8</f>
        <v>293</v>
      </c>
      <c r="I9" s="21">
        <f>'PowerHouse Data'!$K$14</f>
        <v>195064</v>
      </c>
      <c r="J9" s="21">
        <f>Table1135[[#This Row],[UTILITY / PARBOILING]]-I8</f>
        <v>4411</v>
      </c>
      <c r="K9" s="21">
        <f>Table1135[[#This Row],[NEPA Consumption (KWH)]]-Table1135[[#This Row],[MILLING + UTILITY / PARBOILING]]</f>
        <v>-1094</v>
      </c>
    </row>
    <row r="10" spans="1:11" ht="18" customHeight="1" x14ac:dyDescent="0.35">
      <c r="A10" s="4">
        <v>46182</v>
      </c>
      <c r="B10" s="5" t="s">
        <v>36</v>
      </c>
      <c r="C10" s="5">
        <f t="shared" si="0"/>
        <v>23831550</v>
      </c>
      <c r="D10" s="7">
        <f>'PowerHouse Data'!$L$3</f>
        <v>23841970</v>
      </c>
      <c r="E10" s="5">
        <f>Table1135[[#This Row],[NEPA FINAL]]-Table1135[[#This Row],[NEPA INITIAL ]]</f>
        <v>10420</v>
      </c>
      <c r="F10" s="21">
        <f>(Table1135[[#This Row],[MILLING]]-G9)+(Table1135[[#This Row],[UTILITY / PARBOILING]]-I9)</f>
        <v>17495</v>
      </c>
      <c r="G10" s="21">
        <f>'PowerHouse Data'!$L$13</f>
        <v>3003647</v>
      </c>
      <c r="H10" s="21">
        <f>Table1135[[#This Row],[MILLING]]-G9</f>
        <v>12610</v>
      </c>
      <c r="I10" s="21">
        <f>'PowerHouse Data'!$L$14</f>
        <v>199949</v>
      </c>
      <c r="J10" s="21">
        <f>Table1135[[#This Row],[UTILITY / PARBOILING]]-I9</f>
        <v>4885</v>
      </c>
      <c r="K10" s="21">
        <f>Table1135[[#This Row],[NEPA Consumption (KWH)]]-Table1135[[#This Row],[MILLING + UTILITY / PARBOILING]]</f>
        <v>-7075</v>
      </c>
    </row>
    <row r="11" spans="1:11" ht="18" customHeight="1" x14ac:dyDescent="0.35">
      <c r="A11" s="4">
        <v>46183</v>
      </c>
      <c r="B11" s="5" t="s">
        <v>36</v>
      </c>
      <c r="C11" s="5">
        <f t="shared" si="0"/>
        <v>23841970</v>
      </c>
      <c r="D11" s="7">
        <f>'PowerHouse Data'!$M$3</f>
        <v>23853800</v>
      </c>
      <c r="E11" s="5">
        <f>Table1135[[#This Row],[NEPA FINAL]]-Table1135[[#This Row],[NEPA INITIAL ]]</f>
        <v>11830</v>
      </c>
      <c r="F11" s="21">
        <f>(Table1135[[#This Row],[MILLING]]-G10)+(Table1135[[#This Row],[UTILITY / PARBOILING]]-I10)</f>
        <v>18989</v>
      </c>
      <c r="G11" s="21">
        <f>'PowerHouse Data'!$M$13</f>
        <v>3015954</v>
      </c>
      <c r="H11" s="21">
        <f>Table1135[[#This Row],[MILLING]]-G10</f>
        <v>12307</v>
      </c>
      <c r="I11" s="21">
        <f>'PowerHouse Data'!$M$14</f>
        <v>206631</v>
      </c>
      <c r="J11" s="21">
        <f>Table1135[[#This Row],[UTILITY / PARBOILING]]-I10</f>
        <v>6682</v>
      </c>
      <c r="K11" s="21">
        <f>Table1135[[#This Row],[NEPA Consumption (KWH)]]-Table1135[[#This Row],[MILLING + UTILITY / PARBOILING]]</f>
        <v>-7159</v>
      </c>
    </row>
    <row r="12" spans="1:11" ht="18" customHeight="1" x14ac:dyDescent="0.35">
      <c r="A12" s="4">
        <v>46184</v>
      </c>
      <c r="B12" s="5" t="s">
        <v>36</v>
      </c>
      <c r="C12" s="5">
        <f t="shared" si="0"/>
        <v>23853800</v>
      </c>
      <c r="D12" s="7">
        <f>'PowerHouse Data'!$N$3</f>
        <v>23862680</v>
      </c>
      <c r="E12" s="5">
        <f>Table1135[[#This Row],[NEPA FINAL]]-Table1135[[#This Row],[NEPA INITIAL ]]</f>
        <v>8880</v>
      </c>
      <c r="F12" s="21">
        <f>(Table1135[[#This Row],[MILLING]]-G11)+(Table1135[[#This Row],[UTILITY / PARBOILING]]-I11)</f>
        <v>15322</v>
      </c>
      <c r="G12" s="21">
        <f>'PowerHouse Data'!$N$13</f>
        <v>3027820</v>
      </c>
      <c r="H12" s="21">
        <f>Table1135[[#This Row],[MILLING]]-G11</f>
        <v>11866</v>
      </c>
      <c r="I12" s="21">
        <f>'PowerHouse Data'!$N$14</f>
        <v>210087</v>
      </c>
      <c r="J12" s="21">
        <f>Table1135[[#This Row],[UTILITY / PARBOILING]]-I11</f>
        <v>3456</v>
      </c>
      <c r="K12" s="21">
        <f>Table1135[[#This Row],[NEPA Consumption (KWH)]]-Table1135[[#This Row],[MILLING + UTILITY / PARBOILING]]</f>
        <v>-6442</v>
      </c>
    </row>
    <row r="13" spans="1:11" ht="18" customHeight="1" x14ac:dyDescent="0.35">
      <c r="A13" s="4">
        <v>46185</v>
      </c>
      <c r="B13" s="5" t="s">
        <v>36</v>
      </c>
      <c r="C13" s="5">
        <f t="shared" si="0"/>
        <v>23862680</v>
      </c>
      <c r="D13" s="7">
        <f>'PowerHouse Data'!$O$3</f>
        <v>23873790</v>
      </c>
      <c r="E13" s="5">
        <f>Table1135[[#This Row],[NEPA FINAL]]-Table1135[[#This Row],[NEPA INITIAL ]]</f>
        <v>11110</v>
      </c>
      <c r="F13" s="21">
        <f>(Table1135[[#This Row],[MILLING]]-G12)+(Table1135[[#This Row],[UTILITY / PARBOILING]]-I12)</f>
        <v>18993</v>
      </c>
      <c r="G13" s="21">
        <f>'PowerHouse Data'!$O$13</f>
        <v>3042532</v>
      </c>
      <c r="H13" s="21">
        <f>Table1135[[#This Row],[MILLING]]-G12</f>
        <v>14712</v>
      </c>
      <c r="I13" s="21">
        <f>'PowerHouse Data'!$O$14</f>
        <v>214368</v>
      </c>
      <c r="J13" s="21">
        <f>Table1135[[#This Row],[UTILITY / PARBOILING]]-I12</f>
        <v>4281</v>
      </c>
      <c r="K13" s="21">
        <f>Table1135[[#This Row],[NEPA Consumption (KWH)]]-Table1135[[#This Row],[MILLING + UTILITY / PARBOILING]]</f>
        <v>-7883</v>
      </c>
    </row>
    <row r="14" spans="1:11" ht="18" customHeight="1" x14ac:dyDescent="0.35">
      <c r="A14" s="4">
        <v>46186</v>
      </c>
      <c r="B14" s="5" t="s">
        <v>36</v>
      </c>
      <c r="C14" s="5">
        <f t="shared" si="0"/>
        <v>23873790</v>
      </c>
      <c r="D14" s="7">
        <f>'PowerHouse Data'!$P$3</f>
        <v>23884700</v>
      </c>
      <c r="E14" s="5">
        <f>Table1135[[#This Row],[NEPA FINAL]]-Table1135[[#This Row],[NEPA INITIAL ]]</f>
        <v>10910</v>
      </c>
      <c r="F14" s="21">
        <f>(Table1135[[#This Row],[MILLING]]-G13)+(Table1135[[#This Row],[UTILITY / PARBOILING]]-I13)</f>
        <v>17709</v>
      </c>
      <c r="G14" s="21">
        <f>'PowerHouse Data'!$P$13</f>
        <v>3054119</v>
      </c>
      <c r="H14" s="21">
        <f>Table1135[[#This Row],[MILLING]]-G13</f>
        <v>11587</v>
      </c>
      <c r="I14" s="21">
        <f>'PowerHouse Data'!$P$14</f>
        <v>220490</v>
      </c>
      <c r="J14" s="21">
        <f>Table1135[[#This Row],[UTILITY / PARBOILING]]-I13</f>
        <v>6122</v>
      </c>
      <c r="K14" s="21">
        <f>Table1135[[#This Row],[NEPA Consumption (KWH)]]-Table1135[[#This Row],[MILLING + UTILITY / PARBOILING]]</f>
        <v>-6799</v>
      </c>
    </row>
    <row r="15" spans="1:11" ht="18" customHeight="1" x14ac:dyDescent="0.35">
      <c r="A15" s="4">
        <v>46187</v>
      </c>
      <c r="B15" s="5" t="s">
        <v>36</v>
      </c>
      <c r="C15" s="5">
        <f t="shared" si="0"/>
        <v>23884700</v>
      </c>
      <c r="D15" s="7">
        <f>'PowerHouse Data'!$Q$3</f>
        <v>23893900</v>
      </c>
      <c r="E15" s="5">
        <f>Table1135[[#This Row],[NEPA FINAL]]-Table1135[[#This Row],[NEPA INITIAL ]]</f>
        <v>9200</v>
      </c>
      <c r="F15" s="21">
        <f>(Table1135[[#This Row],[MILLING]]-G14)+(Table1135[[#This Row],[UTILITY / PARBOILING]]-I14)</f>
        <v>14270</v>
      </c>
      <c r="G15" s="21">
        <f>'PowerHouse Data'!$Q$13</f>
        <v>3062290</v>
      </c>
      <c r="H15" s="21">
        <f>Table1135[[#This Row],[MILLING]]-G14</f>
        <v>8171</v>
      </c>
      <c r="I15" s="21">
        <f>'PowerHouse Data'!$Q$14</f>
        <v>226589</v>
      </c>
      <c r="J15" s="21">
        <f>Table1135[[#This Row],[UTILITY / PARBOILING]]-I14</f>
        <v>6099</v>
      </c>
      <c r="K15" s="21">
        <f>Table1135[[#This Row],[NEPA Consumption (KWH)]]-Table1135[[#This Row],[MILLING + UTILITY / PARBOILING]]</f>
        <v>-5070</v>
      </c>
    </row>
    <row r="16" spans="1:11" ht="18" customHeight="1" x14ac:dyDescent="0.35">
      <c r="A16" s="4">
        <v>46188</v>
      </c>
      <c r="B16" s="5" t="s">
        <v>36</v>
      </c>
      <c r="C16" s="5">
        <f t="shared" si="0"/>
        <v>23893900</v>
      </c>
      <c r="D16" s="7">
        <f>'PowerHouse Data'!$R$3</f>
        <v>23897100</v>
      </c>
      <c r="E16" s="5">
        <f>Table1135[[#This Row],[NEPA FINAL]]-Table1135[[#This Row],[NEPA INITIAL ]]</f>
        <v>3200</v>
      </c>
      <c r="F16" s="21">
        <f>(Table1135[[#This Row],[MILLING]]-G15)+(Table1135[[#This Row],[UTILITY / PARBOILING]]-I15)</f>
        <v>4477</v>
      </c>
      <c r="G16" s="21">
        <f>'PowerHouse Data'!$R$13</f>
        <v>3063882</v>
      </c>
      <c r="H16" s="21">
        <f>Table1135[[#This Row],[MILLING]]-G15</f>
        <v>1592</v>
      </c>
      <c r="I16" s="21">
        <f>'PowerHouse Data'!$R$14</f>
        <v>229474</v>
      </c>
      <c r="J16" s="21">
        <f>Table1135[[#This Row],[UTILITY / PARBOILING]]-I15</f>
        <v>2885</v>
      </c>
      <c r="K16" s="21">
        <f>Table1135[[#This Row],[NEPA Consumption (KWH)]]-Table1135[[#This Row],[MILLING + UTILITY / PARBOILING]]</f>
        <v>-1277</v>
      </c>
    </row>
    <row r="17" spans="1:11" ht="18" customHeight="1" x14ac:dyDescent="0.35">
      <c r="A17" s="4">
        <v>46189</v>
      </c>
      <c r="B17" s="5" t="s">
        <v>36</v>
      </c>
      <c r="C17" s="5">
        <f t="shared" si="0"/>
        <v>23897100</v>
      </c>
      <c r="D17" s="7">
        <f>'PowerHouse Data'!$S$3</f>
        <v>23906310</v>
      </c>
      <c r="E17" s="5">
        <f>Table1135[[#This Row],[NEPA FINAL]]-Table1135[[#This Row],[NEPA INITIAL ]]</f>
        <v>9210</v>
      </c>
      <c r="F17" s="21">
        <f>(Table1135[[#This Row],[MILLING]]-G16)+(Table1135[[#This Row],[UTILITY / PARBOILING]]-I16)</f>
        <v>15882</v>
      </c>
      <c r="G17" s="21">
        <f>'PowerHouse Data'!$S$13</f>
        <v>3076581</v>
      </c>
      <c r="H17" s="21">
        <f>Table1135[[#This Row],[MILLING]]-G16</f>
        <v>12699</v>
      </c>
      <c r="I17" s="21">
        <f>'PowerHouse Data'!$S$14</f>
        <v>232657</v>
      </c>
      <c r="J17" s="21">
        <f>Table1135[[#This Row],[UTILITY / PARBOILING]]-I16</f>
        <v>3183</v>
      </c>
      <c r="K17" s="21">
        <f>Table1135[[#This Row],[NEPA Consumption (KWH)]]-Table1135[[#This Row],[MILLING + UTILITY / PARBOILING]]</f>
        <v>-6672</v>
      </c>
    </row>
    <row r="18" spans="1:11" ht="18" customHeight="1" x14ac:dyDescent="0.35">
      <c r="A18" s="4">
        <v>46190</v>
      </c>
      <c r="B18" s="5" t="s">
        <v>36</v>
      </c>
      <c r="C18" s="5">
        <f t="shared" si="0"/>
        <v>23906310</v>
      </c>
      <c r="D18" s="7">
        <f>'PowerHouse Data'!$T$3</f>
        <v>23915980</v>
      </c>
      <c r="E18" s="5">
        <f>Table1135[[#This Row],[NEPA FINAL]]-Table1135[[#This Row],[NEPA INITIAL ]]</f>
        <v>9670</v>
      </c>
      <c r="F18" s="21">
        <f>(Table1135[[#This Row],[MILLING]]-G17)+(Table1135[[#This Row],[UTILITY / PARBOILING]]-I17)</f>
        <v>16145</v>
      </c>
      <c r="G18" s="21">
        <f>'PowerHouse Data'!$T$13</f>
        <v>3088580</v>
      </c>
      <c r="H18" s="21">
        <f>Table1135[[#This Row],[MILLING]]-G17</f>
        <v>11999</v>
      </c>
      <c r="I18" s="21">
        <f>'PowerHouse Data'!$T$14</f>
        <v>236803</v>
      </c>
      <c r="J18" s="21">
        <f>Table1135[[#This Row],[UTILITY / PARBOILING]]-I17</f>
        <v>4146</v>
      </c>
      <c r="K18" s="21">
        <f>Table1135[[#This Row],[NEPA Consumption (KWH)]]-Table1135[[#This Row],[MILLING + UTILITY / PARBOILING]]</f>
        <v>-6475</v>
      </c>
    </row>
    <row r="19" spans="1:11" ht="18" customHeight="1" x14ac:dyDescent="0.35">
      <c r="A19" s="4">
        <v>46191</v>
      </c>
      <c r="B19" s="5" t="s">
        <v>36</v>
      </c>
      <c r="C19" s="5">
        <f t="shared" si="0"/>
        <v>23915980</v>
      </c>
      <c r="D19" s="7">
        <f>'PowerHouse Data'!$U$3</f>
        <v>23928600</v>
      </c>
      <c r="E19" s="5">
        <f>Table1135[[#This Row],[NEPA FINAL]]-Table1135[[#This Row],[NEPA INITIAL ]]</f>
        <v>12620</v>
      </c>
      <c r="F19" s="21">
        <f>(Table1135[[#This Row],[MILLING]]-G18)+(Table1135[[#This Row],[UTILITY / PARBOILING]]-I18)</f>
        <v>21257</v>
      </c>
      <c r="G19" s="21">
        <f>'PowerHouse Data'!$U$13</f>
        <v>3104289</v>
      </c>
      <c r="H19" s="21">
        <f>Table1135[[#This Row],[MILLING]]-G18</f>
        <v>15709</v>
      </c>
      <c r="I19" s="21">
        <f>'PowerHouse Data'!$U$14</f>
        <v>242351</v>
      </c>
      <c r="J19" s="21">
        <f>Table1135[[#This Row],[UTILITY / PARBOILING]]-I18</f>
        <v>5548</v>
      </c>
      <c r="K19" s="21">
        <f>Table1135[[#This Row],[NEPA Consumption (KWH)]]-Table1135[[#This Row],[MILLING + UTILITY / PARBOILING]]</f>
        <v>-8637</v>
      </c>
    </row>
    <row r="20" spans="1:11" ht="18" customHeight="1" x14ac:dyDescent="0.35">
      <c r="A20" s="4">
        <v>46192</v>
      </c>
      <c r="B20" s="5" t="s">
        <v>36</v>
      </c>
      <c r="C20" s="5">
        <f t="shared" si="0"/>
        <v>23928600</v>
      </c>
      <c r="D20" s="7">
        <f>'PowerHouse Data'!$V$3</f>
        <v>23940000</v>
      </c>
      <c r="E20" s="5">
        <f>Table1135[[#This Row],[NEPA FINAL]]-Table1135[[#This Row],[NEPA INITIAL ]]</f>
        <v>11400</v>
      </c>
      <c r="F20" s="21">
        <f>(Table1135[[#This Row],[MILLING]]-G19)+(Table1135[[#This Row],[UTILITY / PARBOILING]]-I19)</f>
        <v>18345</v>
      </c>
      <c r="G20" s="21">
        <f>'PowerHouse Data'!$V$13</f>
        <v>3116116</v>
      </c>
      <c r="H20" s="21">
        <f>Table1135[[#This Row],[MILLING]]-G19</f>
        <v>11827</v>
      </c>
      <c r="I20" s="21">
        <f>'PowerHouse Data'!$V$14</f>
        <v>248869</v>
      </c>
      <c r="J20" s="21">
        <f>Table1135[[#This Row],[UTILITY / PARBOILING]]-I19</f>
        <v>6518</v>
      </c>
      <c r="K20" s="21">
        <f>Table1135[[#This Row],[NEPA Consumption (KWH)]]-Table1135[[#This Row],[MILLING + UTILITY / PARBOILING]]</f>
        <v>-6945</v>
      </c>
    </row>
    <row r="21" spans="1:11" ht="18" customHeight="1" x14ac:dyDescent="0.35">
      <c r="A21" s="4">
        <v>46193</v>
      </c>
      <c r="B21" s="5" t="s">
        <v>36</v>
      </c>
      <c r="C21" s="5">
        <f t="shared" si="0"/>
        <v>23940000</v>
      </c>
      <c r="D21" s="7">
        <f>'PowerHouse Data'!$W$3</f>
        <v>23951960</v>
      </c>
      <c r="E21" s="5">
        <f>Table1135[[#This Row],[NEPA FINAL]]-Table1135[[#This Row],[NEPA INITIAL ]]</f>
        <v>11960</v>
      </c>
      <c r="F21" s="21">
        <f>(Table1135[[#This Row],[MILLING]]-G20)+(Table1135[[#This Row],[UTILITY / PARBOILING]]-I20)</f>
        <v>19329</v>
      </c>
      <c r="G21" s="21">
        <f>'PowerHouse Data'!$W$13</f>
        <v>3128819</v>
      </c>
      <c r="H21" s="21">
        <f>Table1135[[#This Row],[MILLING]]-G20</f>
        <v>12703</v>
      </c>
      <c r="I21" s="21">
        <f>'PowerHouse Data'!$W$14</f>
        <v>255495</v>
      </c>
      <c r="J21" s="21">
        <f>Table1135[[#This Row],[UTILITY / PARBOILING]]-I20</f>
        <v>6626</v>
      </c>
      <c r="K21" s="21">
        <f>Table1135[[#This Row],[NEPA Consumption (KWH)]]-Table1135[[#This Row],[MILLING + UTILITY / PARBOILING]]</f>
        <v>-7369</v>
      </c>
    </row>
    <row r="22" spans="1:11" ht="18" customHeight="1" x14ac:dyDescent="0.35">
      <c r="A22" s="4">
        <v>46194</v>
      </c>
      <c r="B22" s="5" t="s">
        <v>36</v>
      </c>
      <c r="C22" s="5">
        <f t="shared" si="0"/>
        <v>23951960</v>
      </c>
      <c r="D22" s="7">
        <f>'PowerHouse Data'!$X$3</f>
        <v>23958020</v>
      </c>
      <c r="E22" s="5">
        <f>Table1135[[#This Row],[NEPA FINAL]]-Table1135[[#This Row],[NEPA INITIAL ]]</f>
        <v>6060</v>
      </c>
      <c r="F22" s="21">
        <f>(Table1135[[#This Row],[MILLING]]-G21)+(Table1135[[#This Row],[UTILITY / PARBOILING]]-I21)</f>
        <v>8306</v>
      </c>
      <c r="G22" s="21">
        <f>'PowerHouse Data'!$X$13</f>
        <v>3130932</v>
      </c>
      <c r="H22" s="21">
        <f>Table1135[[#This Row],[MILLING]]-G21</f>
        <v>2113</v>
      </c>
      <c r="I22" s="21">
        <f>'PowerHouse Data'!$X$14</f>
        <v>261688</v>
      </c>
      <c r="J22" s="21">
        <f>Table1135[[#This Row],[UTILITY / PARBOILING]]-I21</f>
        <v>6193</v>
      </c>
      <c r="K22" s="21">
        <f>Table1135[[#This Row],[NEPA Consumption (KWH)]]-Table1135[[#This Row],[MILLING + UTILITY / PARBOILING]]</f>
        <v>-2246</v>
      </c>
    </row>
    <row r="23" spans="1:11" ht="18" customHeight="1" x14ac:dyDescent="0.35">
      <c r="A23" s="4">
        <v>46195</v>
      </c>
      <c r="B23" s="5" t="s">
        <v>36</v>
      </c>
      <c r="C23" s="5">
        <f t="shared" si="0"/>
        <v>23958020</v>
      </c>
      <c r="D23" s="7">
        <f>'PowerHouse Data'!$Y$3</f>
        <v>23962110</v>
      </c>
      <c r="E23" s="5">
        <f>Table1135[[#This Row],[NEPA FINAL]]-Table1135[[#This Row],[NEPA INITIAL ]]</f>
        <v>4090</v>
      </c>
      <c r="F23" s="21">
        <f>(Table1135[[#This Row],[MILLING]]-G22)+(Table1135[[#This Row],[UTILITY / PARBOILING]]-I22)</f>
        <v>5154</v>
      </c>
      <c r="G23" s="21">
        <f>'PowerHouse Data'!$Y$13</f>
        <v>3131047</v>
      </c>
      <c r="H23" s="21">
        <f>Table1135[[#This Row],[MILLING]]-G22</f>
        <v>115</v>
      </c>
      <c r="I23" s="21">
        <f>'PowerHouse Data'!$Y$14</f>
        <v>266727</v>
      </c>
      <c r="J23" s="21">
        <f>Table1135[[#This Row],[UTILITY / PARBOILING]]-I22</f>
        <v>5039</v>
      </c>
      <c r="K23" s="21">
        <f>Table1135[[#This Row],[NEPA Consumption (KWH)]]-Table1135[[#This Row],[MILLING + UTILITY / PARBOILING]]</f>
        <v>-1064</v>
      </c>
    </row>
    <row r="24" spans="1:11" ht="18" customHeight="1" x14ac:dyDescent="0.35">
      <c r="A24" s="4">
        <v>46196</v>
      </c>
      <c r="B24" s="5" t="s">
        <v>36</v>
      </c>
      <c r="C24" s="5">
        <f t="shared" si="0"/>
        <v>23962110</v>
      </c>
      <c r="D24" s="7">
        <f>'PowerHouse Data'!$Z$3</f>
        <v>23971780</v>
      </c>
      <c r="E24" s="5">
        <f>Table1135[[#This Row],[NEPA FINAL]]-Table1135[[#This Row],[NEPA INITIAL ]]</f>
        <v>9670</v>
      </c>
      <c r="F24" s="21">
        <f>(Table1135[[#This Row],[MILLING]]-G23)+(Table1135[[#This Row],[UTILITY / PARBOILING]]-I23)</f>
        <v>16806</v>
      </c>
      <c r="G24" s="21">
        <f>'PowerHouse Data'!$Z$13</f>
        <v>3144692</v>
      </c>
      <c r="H24" s="21">
        <f>Table1135[[#This Row],[MILLING]]-G23</f>
        <v>13645</v>
      </c>
      <c r="I24" s="21">
        <f>'PowerHouse Data'!$Z$14</f>
        <v>269888</v>
      </c>
      <c r="J24" s="21">
        <f>Table1135[[#This Row],[UTILITY / PARBOILING]]-I23</f>
        <v>3161</v>
      </c>
      <c r="K24" s="21">
        <f>Table1135[[#This Row],[NEPA Consumption (KWH)]]-Table1135[[#This Row],[MILLING + UTILITY / PARBOILING]]</f>
        <v>-7136</v>
      </c>
    </row>
    <row r="25" spans="1:11" ht="18" customHeight="1" x14ac:dyDescent="0.35">
      <c r="A25" s="4">
        <v>46197</v>
      </c>
      <c r="B25" s="5" t="s">
        <v>36</v>
      </c>
      <c r="C25" s="5">
        <f t="shared" si="0"/>
        <v>23971780</v>
      </c>
      <c r="D25" s="7">
        <f>'PowerHouse Data'!$AA$3</f>
        <v>23982860</v>
      </c>
      <c r="E25" s="5">
        <f>Table1135[[#This Row],[NEPA FINAL]]-Table1135[[#This Row],[NEPA INITIAL ]]</f>
        <v>11080</v>
      </c>
      <c r="F25" s="21">
        <f>(Table1135[[#This Row],[MILLING]]-G24)+(Table1135[[#This Row],[UTILITY / PARBOILING]]-I24)</f>
        <v>18189</v>
      </c>
      <c r="G25" s="21">
        <f>'PowerHouse Data'!$AA$13</f>
        <v>3157101</v>
      </c>
      <c r="H25" s="21">
        <f>Table1135[[#This Row],[MILLING]]-G24</f>
        <v>12409</v>
      </c>
      <c r="I25" s="21">
        <f>'PowerHouse Data'!$AA$14</f>
        <v>275668</v>
      </c>
      <c r="J25" s="21">
        <f>Table1135[[#This Row],[UTILITY / PARBOILING]]-I24</f>
        <v>5780</v>
      </c>
      <c r="K25" s="21">
        <f>Table1135[[#This Row],[NEPA Consumption (KWH)]]-Table1135[[#This Row],[MILLING + UTILITY / PARBOILING]]</f>
        <v>-7109</v>
      </c>
    </row>
    <row r="26" spans="1:11" ht="18" customHeight="1" x14ac:dyDescent="0.35">
      <c r="A26" s="4">
        <v>46198</v>
      </c>
      <c r="B26" s="5" t="s">
        <v>36</v>
      </c>
      <c r="C26" s="5">
        <f t="shared" si="0"/>
        <v>23982860</v>
      </c>
      <c r="D26" s="7">
        <f>'PowerHouse Data'!$AB$3</f>
        <v>23994370</v>
      </c>
      <c r="E26" s="5">
        <f>Table1135[[#This Row],[NEPA FINAL]]-Table1135[[#This Row],[NEPA INITIAL ]]</f>
        <v>11510</v>
      </c>
      <c r="F26" s="21">
        <f>(Table1135[[#This Row],[MILLING]]-G25)+(Table1135[[#This Row],[UTILITY / PARBOILING]]-I25)</f>
        <v>18430</v>
      </c>
      <c r="G26" s="21">
        <f>'PowerHouse Data'!$AB$13</f>
        <v>3168687</v>
      </c>
      <c r="H26" s="21">
        <f>Table1135[[#This Row],[MILLING]]-G25</f>
        <v>11586</v>
      </c>
      <c r="I26" s="21">
        <f>'PowerHouse Data'!$AB$14</f>
        <v>282512</v>
      </c>
      <c r="J26" s="21">
        <f>Table1135[[#This Row],[UTILITY / PARBOILING]]-I25</f>
        <v>6844</v>
      </c>
      <c r="K26" s="21">
        <f>Table1135[[#This Row],[NEPA Consumption (KWH)]]-Table1135[[#This Row],[MILLING + UTILITY / PARBOILING]]</f>
        <v>-6920</v>
      </c>
    </row>
    <row r="27" spans="1:11" ht="18" customHeight="1" x14ac:dyDescent="0.35">
      <c r="A27" s="4">
        <v>46199</v>
      </c>
      <c r="B27" s="5" t="s">
        <v>36</v>
      </c>
      <c r="C27" s="5">
        <f t="shared" si="0"/>
        <v>23994370</v>
      </c>
      <c r="D27" s="7">
        <f>'PowerHouse Data'!$AC$3</f>
        <v>24006320</v>
      </c>
      <c r="E27" s="5">
        <f>Table1135[[#This Row],[NEPA FINAL]]-Table1135[[#This Row],[NEPA INITIAL ]]</f>
        <v>11950</v>
      </c>
      <c r="F27" s="21">
        <f>(Table1135[[#This Row],[MILLING]]-G26)+(Table1135[[#This Row],[UTILITY / PARBOILING]]-I26)</f>
        <v>19883</v>
      </c>
      <c r="G27" s="21">
        <f>'PowerHouse Data'!$AC$13</f>
        <v>3183038</v>
      </c>
      <c r="H27" s="21">
        <f>Table1135[[#This Row],[MILLING]]-G26</f>
        <v>14351</v>
      </c>
      <c r="I27" s="21">
        <f>'PowerHouse Data'!$AC$14</f>
        <v>288044</v>
      </c>
      <c r="J27" s="21">
        <f>Table1135[[#This Row],[UTILITY / PARBOILING]]-I26</f>
        <v>5532</v>
      </c>
      <c r="K27" s="21">
        <f>Table1135[[#This Row],[NEPA Consumption (KWH)]]-Table1135[[#This Row],[MILLING + UTILITY / PARBOILING]]</f>
        <v>-7933</v>
      </c>
    </row>
    <row r="28" spans="1:11" ht="18" customHeight="1" x14ac:dyDescent="0.35">
      <c r="A28" s="4">
        <v>46200</v>
      </c>
      <c r="B28" s="5" t="s">
        <v>36</v>
      </c>
      <c r="C28" s="5">
        <f t="shared" si="0"/>
        <v>24006320</v>
      </c>
      <c r="D28" s="7">
        <f>'PowerHouse Data'!$AD$3</f>
        <v>24017590</v>
      </c>
      <c r="E28" s="5">
        <f>Table1135[[#This Row],[NEPA FINAL]]-Table1135[[#This Row],[NEPA INITIAL ]]</f>
        <v>11270</v>
      </c>
      <c r="F28" s="21">
        <f>(Table1135[[#This Row],[MILLING]]-G27)+(Table1135[[#This Row],[UTILITY / PARBOILING]]-I27)</f>
        <v>18211</v>
      </c>
      <c r="G28" s="21">
        <f>'PowerHouse Data'!$AD$13</f>
        <v>3194853</v>
      </c>
      <c r="H28" s="21">
        <f>Table1135[[#This Row],[MILLING]]-G27</f>
        <v>11815</v>
      </c>
      <c r="I28" s="21">
        <f>'PowerHouse Data'!$AD$14</f>
        <v>294440</v>
      </c>
      <c r="J28" s="21">
        <f>Table1135[[#This Row],[UTILITY / PARBOILING]]-I27</f>
        <v>6396</v>
      </c>
      <c r="K28" s="21">
        <f>Table1135[[#This Row],[NEPA Consumption (KWH)]]-Table1135[[#This Row],[MILLING + UTILITY / PARBOILING]]</f>
        <v>-6941</v>
      </c>
    </row>
    <row r="29" spans="1:11" ht="18" customHeight="1" x14ac:dyDescent="0.35">
      <c r="A29" s="4">
        <v>46201</v>
      </c>
      <c r="B29" s="5" t="s">
        <v>36</v>
      </c>
      <c r="C29" s="5">
        <f t="shared" si="0"/>
        <v>24017590</v>
      </c>
      <c r="D29" s="7">
        <f>'PowerHouse Data'!$AE$3</f>
        <v>24020930</v>
      </c>
      <c r="E29" s="5">
        <f>Table1135[[#This Row],[NEPA FINAL]]-Table1135[[#This Row],[NEPA INITIAL ]]</f>
        <v>3340</v>
      </c>
      <c r="F29" s="21">
        <f>(Table1135[[#This Row],[MILLING]]-G28)+(Table1135[[#This Row],[UTILITY / PARBOILING]]-I28)</f>
        <v>4223</v>
      </c>
      <c r="G29" s="21">
        <f>'PowerHouse Data'!$AE$13</f>
        <v>3195519</v>
      </c>
      <c r="H29" s="21">
        <f>Table1135[[#This Row],[MILLING]]-G28</f>
        <v>666</v>
      </c>
      <c r="I29" s="21">
        <f>'PowerHouse Data'!$AE$14</f>
        <v>297997</v>
      </c>
      <c r="J29" s="21">
        <f>Table1135[[#This Row],[UTILITY / PARBOILING]]-I28</f>
        <v>3557</v>
      </c>
      <c r="K29" s="21">
        <f>Table1135[[#This Row],[NEPA Consumption (KWH)]]-Table1135[[#This Row],[MILLING + UTILITY / PARBOILING]]</f>
        <v>-883</v>
      </c>
    </row>
    <row r="30" spans="1:11" ht="18" customHeight="1" x14ac:dyDescent="0.35">
      <c r="A30" s="4">
        <v>46202</v>
      </c>
      <c r="B30" s="5" t="s">
        <v>36</v>
      </c>
      <c r="C30" s="5">
        <f t="shared" si="0"/>
        <v>24020930</v>
      </c>
      <c r="D30" s="7">
        <f>'PowerHouse Data'!$AF$3</f>
        <v>24021430</v>
      </c>
      <c r="E30" s="5">
        <f>Table1135[[#This Row],[NEPA FINAL]]-Table1135[[#This Row],[NEPA INITIAL ]]</f>
        <v>500</v>
      </c>
      <c r="F30" s="21">
        <f>(Table1135[[#This Row],[MILLING]]-G29)+(Table1135[[#This Row],[UTILITY / PARBOILING]]-I29)</f>
        <v>573</v>
      </c>
      <c r="G30" s="21">
        <f>'PowerHouse Data'!$AF$13</f>
        <v>3195743</v>
      </c>
      <c r="H30" s="21">
        <f>Table1135[[#This Row],[MILLING]]-G29</f>
        <v>224</v>
      </c>
      <c r="I30" s="21">
        <f>'PowerHouse Data'!$AF$14</f>
        <v>298346</v>
      </c>
      <c r="J30" s="21">
        <f>Table1135[[#This Row],[UTILITY / PARBOILING]]-I29</f>
        <v>349</v>
      </c>
      <c r="K30" s="21">
        <f>Table1135[[#This Row],[NEPA Consumption (KWH)]]-Table1135[[#This Row],[MILLING + UTILITY / PARBOILING]]</f>
        <v>-73</v>
      </c>
    </row>
    <row r="31" spans="1:11" ht="18" customHeight="1" x14ac:dyDescent="0.35">
      <c r="A31" s="4">
        <v>46203</v>
      </c>
      <c r="B31" s="5" t="s">
        <v>36</v>
      </c>
      <c r="C31" s="5">
        <f t="shared" si="0"/>
        <v>24021430</v>
      </c>
      <c r="D31" s="7">
        <f>'PowerHouse Data'!$AG$3</f>
        <v>0</v>
      </c>
      <c r="E31" s="5">
        <f>Table1135[[#This Row],[NEPA FINAL]]-Table1135[[#This Row],[NEPA INITIAL ]]</f>
        <v>-24021430</v>
      </c>
      <c r="F31" s="24">
        <f>(Table1135[[#This Row],[MILLING]]-G30)+(Table1135[[#This Row],[UTILITY / PARBOILING]]-I30)</f>
        <v>-3494089</v>
      </c>
      <c r="G31" s="24">
        <f>'PowerHouse Data'!$AG$13</f>
        <v>0</v>
      </c>
      <c r="H31" s="24">
        <f>Table1135[[#This Row],[MILLING]]-G30</f>
        <v>-3195743</v>
      </c>
      <c r="I31" s="24">
        <f>'PowerHouse Data'!$AG$14</f>
        <v>0</v>
      </c>
      <c r="J31" s="24">
        <f>Table1135[[#This Row],[UTILITY / PARBOILING]]-I30</f>
        <v>-298346</v>
      </c>
      <c r="K31" s="24">
        <f>Table1135[[#This Row],[NEPA Consumption (KWH)]]-Table1135[[#This Row],[MILLING + UTILITY / PARBOILING]]</f>
        <v>-20527341</v>
      </c>
    </row>
    <row r="32" spans="1:11" x14ac:dyDescent="0.35">
      <c r="A32" s="42"/>
      <c r="B32" s="5"/>
      <c r="C32" s="5"/>
      <c r="D32" s="7">
        <f>'PowerHouse Data'!$AH$3</f>
        <v>0</v>
      </c>
      <c r="E32" s="7">
        <f>Table1135[[#This Row],[NEPA FINAL]]-Table1135[[#This Row],[NEPA INITIAL ]]</f>
        <v>0</v>
      </c>
      <c r="F32" s="21">
        <f>(Table1135[[#This Row],[MILLING]]-G31)+(Table1135[[#This Row],[UTILITY / PARBOILING]]-I31)</f>
        <v>0</v>
      </c>
      <c r="G32" s="21">
        <f>'PowerHouse Data'!$AH$13</f>
        <v>0</v>
      </c>
      <c r="H32" s="21">
        <f>Table1135[[#This Row],[MILLING]]-G31</f>
        <v>0</v>
      </c>
      <c r="I32" s="21">
        <f>'PowerHouse Data'!$AH$14</f>
        <v>0</v>
      </c>
      <c r="J32" s="21">
        <f>Table1135[[#This Row],[UTILITY / PARBOILING]]-I31</f>
        <v>0</v>
      </c>
      <c r="K32" s="21">
        <f>Table1135[[#This Row],[NEPA Consumption (KWH)]]-Table1135[[#This Row],[MILLING + UTILITY / PARBOILING]]</f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768D-8822-4F5D-B775-57992A127034}">
  <sheetPr codeName="Sheet6"/>
  <dimension ref="A1:F50"/>
  <sheetViews>
    <sheetView zoomScale="104" workbookViewId="0">
      <selection activeCell="B2" sqref="B2"/>
    </sheetView>
  </sheetViews>
  <sheetFormatPr defaultRowHeight="14.5" x14ac:dyDescent="0.35"/>
  <cols>
    <col min="1" max="1" width="10.36328125" bestFit="1" customWidth="1"/>
    <col min="2" max="2" width="14.6328125" customWidth="1"/>
    <col min="3" max="3" width="13.453125" customWidth="1"/>
    <col min="4" max="4" width="15.36328125" customWidth="1"/>
    <col min="5" max="5" width="11.54296875" customWidth="1"/>
    <col min="6" max="6" width="15.1796875" customWidth="1"/>
  </cols>
  <sheetData>
    <row r="1" spans="1:6" ht="29" x14ac:dyDescent="0.35">
      <c r="A1" s="30" t="s">
        <v>0</v>
      </c>
      <c r="B1" s="31" t="s">
        <v>67</v>
      </c>
      <c r="C1" s="31" t="s">
        <v>66</v>
      </c>
      <c r="D1" s="31" t="s">
        <v>48</v>
      </c>
      <c r="E1" s="32" t="s">
        <v>50</v>
      </c>
      <c r="F1" s="3" t="s">
        <v>49</v>
      </c>
    </row>
    <row r="2" spans="1:6" x14ac:dyDescent="0.35">
      <c r="A2" s="35">
        <v>46174</v>
      </c>
      <c r="B2" s="36">
        <f>'PowerHouse Data'!C12</f>
        <v>6185</v>
      </c>
      <c r="C2" s="10">
        <f>'PowerHouse Data'!$E$12</f>
        <v>6185</v>
      </c>
      <c r="D2" s="36">
        <f>Table8[[#This Row],[FM Final reading]]-Table8[[#This Row],[FM Initial Reading]]</f>
        <v>0</v>
      </c>
      <c r="E2" s="37">
        <f>Table8[[#This Row],[Use dip (Litres)]]-Table8[[#This Row],[Use FM (Litres)]]</f>
        <v>3596</v>
      </c>
      <c r="F2" s="38">
        <f>Table113456[[#This Row],[Consumption (Liters)]]</f>
        <v>3596</v>
      </c>
    </row>
    <row r="3" spans="1:6" x14ac:dyDescent="0.35">
      <c r="A3" s="17">
        <v>46175</v>
      </c>
      <c r="B3" s="5">
        <f>'PowerHouse Data'!C13</f>
        <v>0</v>
      </c>
      <c r="C3" s="5">
        <f>'PowerHouse Data'!$F$12</f>
        <v>6185</v>
      </c>
      <c r="D3" s="5">
        <f>Table8[[#This Row],[FM Final reading]]-Table8[[#This Row],[FM Initial Reading]]</f>
        <v>6185</v>
      </c>
      <c r="E3" s="10">
        <f>Table8[[#This Row],[Use dip (Litres)]]-Table8[[#This Row],[Use FM (Litres)]]</f>
        <v>-5824</v>
      </c>
      <c r="F3" s="39">
        <f>Table113456[[#This Row],[Consumption (Liters)]]</f>
        <v>361</v>
      </c>
    </row>
    <row r="4" spans="1:6" x14ac:dyDescent="0.35">
      <c r="A4" s="35">
        <v>46176</v>
      </c>
      <c r="B4" s="36">
        <f>'PowerHouse Data'!C14</f>
        <v>0</v>
      </c>
      <c r="C4" s="5">
        <f>'PowerHouse Data'!$G$12</f>
        <v>6185</v>
      </c>
      <c r="D4" s="36">
        <f>Table8[[#This Row],[FM Final reading]]-Table8[[#This Row],[FM Initial Reading]]</f>
        <v>6185</v>
      </c>
      <c r="E4" s="37">
        <f>Table8[[#This Row],[Use dip (Litres)]]-Table8[[#This Row],[Use FM (Litres)]]</f>
        <v>-5967</v>
      </c>
      <c r="F4" s="38">
        <f>Table113456[[#This Row],[Consumption (Liters)]]</f>
        <v>218</v>
      </c>
    </row>
    <row r="5" spans="1:6" x14ac:dyDescent="0.35">
      <c r="A5" s="17">
        <v>46177</v>
      </c>
      <c r="B5" s="5">
        <f>'PowerHouse Data'!C15</f>
        <v>0</v>
      </c>
      <c r="C5" s="5">
        <f>'PowerHouse Data'!$H$12</f>
        <v>6185</v>
      </c>
      <c r="D5" s="5">
        <f>Table8[[#This Row],[FM Final reading]]-Table8[[#This Row],[FM Initial Reading]]</f>
        <v>6185</v>
      </c>
      <c r="E5" s="10">
        <f>Table8[[#This Row],[Use dip (Litres)]]-Table8[[#This Row],[Use FM (Litres)]]</f>
        <v>-6185</v>
      </c>
      <c r="F5" s="39">
        <f>Table113456[[#This Row],[Consumption (Liters)]]</f>
        <v>0</v>
      </c>
    </row>
    <row r="6" spans="1:6" x14ac:dyDescent="0.35">
      <c r="A6" s="35">
        <v>46178</v>
      </c>
      <c r="B6" s="36">
        <f>'PowerHouse Data'!C16</f>
        <v>0</v>
      </c>
      <c r="C6" s="5">
        <f>'PowerHouse Data'!$I$12</f>
        <v>6185</v>
      </c>
      <c r="D6" s="36">
        <f>Table8[[#This Row],[FM Final reading]]-Table8[[#This Row],[FM Initial Reading]]</f>
        <v>6185</v>
      </c>
      <c r="E6" s="37">
        <f>Table8[[#This Row],[Use dip (Litres)]]-Table8[[#This Row],[Use FM (Litres)]]</f>
        <v>-6185</v>
      </c>
      <c r="F6" s="38">
        <f>Table113456[[#This Row],[Consumption (Liters)]]</f>
        <v>0</v>
      </c>
    </row>
    <row r="7" spans="1:6" x14ac:dyDescent="0.35">
      <c r="A7" s="17">
        <v>46179</v>
      </c>
      <c r="B7" s="5">
        <f>'PowerHouse Data'!C17</f>
        <v>0</v>
      </c>
      <c r="C7" s="5">
        <f>'PowerHouse Data'!$J$12</f>
        <v>6185</v>
      </c>
      <c r="D7" s="5">
        <f>Table8[[#This Row],[FM Final reading]]-Table8[[#This Row],[FM Initial Reading]]</f>
        <v>6185</v>
      </c>
      <c r="E7" s="10">
        <f>Table8[[#This Row],[Use dip (Litres)]]-Table8[[#This Row],[Use FM (Litres)]]</f>
        <v>-5446</v>
      </c>
      <c r="F7" s="39">
        <f>Table113456[[#This Row],[Consumption (Liters)]]</f>
        <v>739</v>
      </c>
    </row>
    <row r="8" spans="1:6" x14ac:dyDescent="0.35">
      <c r="A8" s="35">
        <v>46180</v>
      </c>
      <c r="B8" s="36">
        <f>'PowerHouse Data'!C18</f>
        <v>0</v>
      </c>
      <c r="C8" s="7">
        <f>'PowerHouse Data'!$K$12</f>
        <v>6185</v>
      </c>
      <c r="D8" s="36">
        <f>Table8[[#This Row],[FM Final reading]]-Table8[[#This Row],[FM Initial Reading]]</f>
        <v>6185</v>
      </c>
      <c r="E8" s="37">
        <f>Table8[[#This Row],[Use dip (Litres)]]-Table8[[#This Row],[Use FM (Litres)]]</f>
        <v>-4974</v>
      </c>
      <c r="F8" s="38">
        <f>Table113456[[#This Row],[Consumption (Liters)]]</f>
        <v>1211</v>
      </c>
    </row>
    <row r="9" spans="1:6" x14ac:dyDescent="0.35">
      <c r="A9" s="17">
        <v>46181</v>
      </c>
      <c r="B9" s="5">
        <f>'PowerHouse Data'!C19</f>
        <v>0</v>
      </c>
      <c r="C9" s="5">
        <f>'PowerHouse Data'!$L$12</f>
        <v>6185</v>
      </c>
      <c r="D9" s="5">
        <f>Table8[[#This Row],[FM Final reading]]-Table8[[#This Row],[FM Initial Reading]]</f>
        <v>6185</v>
      </c>
      <c r="E9" s="10">
        <f>Table8[[#This Row],[Use dip (Litres)]]-Table8[[#This Row],[Use FM (Litres)]]</f>
        <v>-5644</v>
      </c>
      <c r="F9" s="39">
        <f>Table113456[[#This Row],[Consumption (Liters)]]</f>
        <v>541</v>
      </c>
    </row>
    <row r="10" spans="1:6" x14ac:dyDescent="0.35">
      <c r="A10" s="35">
        <v>46182</v>
      </c>
      <c r="B10" s="36">
        <f>'PowerHouse Data'!C20</f>
        <v>0</v>
      </c>
      <c r="C10" s="5">
        <f>'PowerHouse Data'!$M$12</f>
        <v>6185</v>
      </c>
      <c r="D10" s="36">
        <f>Table8[[#This Row],[FM Final reading]]-Table8[[#This Row],[FM Initial Reading]]</f>
        <v>6185</v>
      </c>
      <c r="E10" s="37">
        <f>Table8[[#This Row],[Use dip (Litres)]]-Table8[[#This Row],[Use FM (Litres)]]</f>
        <v>-5796</v>
      </c>
      <c r="F10" s="38">
        <f>Table113456[[#This Row],[Consumption (Liters)]]</f>
        <v>389</v>
      </c>
    </row>
    <row r="11" spans="1:6" x14ac:dyDescent="0.35">
      <c r="A11" s="17">
        <f>A10+1</f>
        <v>46183</v>
      </c>
      <c r="B11" s="5">
        <f>'PowerHouse Data'!C21</f>
        <v>0</v>
      </c>
      <c r="C11" s="5">
        <f>'PowerHouse Data'!$N$12</f>
        <v>6185</v>
      </c>
      <c r="D11" s="5">
        <f>Table8[[#This Row],[FM Final reading]]-Table8[[#This Row],[FM Initial Reading]]</f>
        <v>6185</v>
      </c>
      <c r="E11" s="10">
        <f>Table8[[#This Row],[Use dip (Litres)]]-Table8[[#This Row],[Use FM (Litres)]]</f>
        <v>-6185</v>
      </c>
      <c r="F11" s="39">
        <f>Table113456[[#This Row],[Consumption (Liters)]]</f>
        <v>0</v>
      </c>
    </row>
    <row r="12" spans="1:6" x14ac:dyDescent="0.35">
      <c r="A12" s="17">
        <f>A11+1</f>
        <v>46184</v>
      </c>
      <c r="B12" s="36">
        <f>'PowerHouse Data'!C22</f>
        <v>0</v>
      </c>
      <c r="C12" s="5">
        <f>'PowerHouse Data'!$O$12</f>
        <v>6185</v>
      </c>
      <c r="D12" s="36">
        <f>Table8[[#This Row],[FM Final reading]]-Table8[[#This Row],[FM Initial Reading]]</f>
        <v>6185</v>
      </c>
      <c r="E12" s="37">
        <f>Table8[[#This Row],[Use dip (Litres)]]-Table8[[#This Row],[Use FM (Litres)]]</f>
        <v>-4679</v>
      </c>
      <c r="F12" s="38">
        <f>Table113456[[#This Row],[Consumption (Liters)]]</f>
        <v>1506</v>
      </c>
    </row>
    <row r="13" spans="1:6" x14ac:dyDescent="0.35">
      <c r="A13" s="17">
        <f>A12+1</f>
        <v>46185</v>
      </c>
      <c r="B13" s="5">
        <f>'PowerHouse Data'!C23</f>
        <v>0</v>
      </c>
      <c r="C13" s="5">
        <f>'PowerHouse Data'!$P$12</f>
        <v>6185</v>
      </c>
      <c r="D13" s="5">
        <f>Table8[[#This Row],[FM Final reading]]-Table8[[#This Row],[FM Initial Reading]]</f>
        <v>6185</v>
      </c>
      <c r="E13" s="10">
        <f>Table8[[#This Row],[Use dip (Litres)]]-Table8[[#This Row],[Use FM (Litres)]]</f>
        <v>-5863</v>
      </c>
      <c r="F13" s="39">
        <f>Table113456[[#This Row],[Consumption (Liters)]]</f>
        <v>322</v>
      </c>
    </row>
    <row r="14" spans="1:6" x14ac:dyDescent="0.35">
      <c r="A14" s="17">
        <f>A13+1</f>
        <v>46186</v>
      </c>
      <c r="B14" s="36">
        <f>'PowerHouse Data'!C24</f>
        <v>0</v>
      </c>
      <c r="C14" s="5">
        <f>'PowerHouse Data'!$Q$12</f>
        <v>6185</v>
      </c>
      <c r="D14" s="36">
        <f>Table8[[#This Row],[FM Final reading]]-Table8[[#This Row],[FM Initial Reading]]</f>
        <v>6185</v>
      </c>
      <c r="E14" s="37">
        <f>Table8[[#This Row],[Use dip (Litres)]]-Table8[[#This Row],[Use FM (Litres)]]</f>
        <v>-5692</v>
      </c>
      <c r="F14" s="38">
        <f>Table113456[[#This Row],[Consumption (Liters)]]</f>
        <v>493</v>
      </c>
    </row>
    <row r="15" spans="1:6" x14ac:dyDescent="0.35">
      <c r="A15" s="17">
        <f>A14+1</f>
        <v>46187</v>
      </c>
      <c r="B15" s="5">
        <f>'PowerHouse Data'!C25</f>
        <v>0</v>
      </c>
      <c r="C15" s="5">
        <f>'PowerHouse Data'!$R$12</f>
        <v>6185</v>
      </c>
      <c r="D15" s="5">
        <f>Table8[[#This Row],[FM Final reading]]-Table8[[#This Row],[FM Initial Reading]]</f>
        <v>6185</v>
      </c>
      <c r="E15" s="10">
        <f>Table8[[#This Row],[Use dip (Litres)]]-Table8[[#This Row],[Use FM (Litres)]]</f>
        <v>-6007</v>
      </c>
      <c r="F15" s="39">
        <f>Table113456[[#This Row],[Consumption (Liters)]]</f>
        <v>178</v>
      </c>
    </row>
    <row r="16" spans="1:6" x14ac:dyDescent="0.35">
      <c r="A16" s="17">
        <f t="shared" ref="A16:A31" si="0">A15+1</f>
        <v>46188</v>
      </c>
      <c r="B16" s="36">
        <f>'PowerHouse Data'!C26</f>
        <v>0</v>
      </c>
      <c r="C16" s="5">
        <f>'PowerHouse Data'!$S$12</f>
        <v>6185</v>
      </c>
      <c r="D16" s="36">
        <f>Table8[[#This Row],[FM Final reading]]-Table8[[#This Row],[FM Initial Reading]]</f>
        <v>6185</v>
      </c>
      <c r="E16" s="37">
        <f>Table8[[#This Row],[Use dip (Litres)]]-Table8[[#This Row],[Use FM (Litres)]]</f>
        <v>-4990</v>
      </c>
      <c r="F16" s="38">
        <f>Table113456[[#This Row],[Consumption (Liters)]]</f>
        <v>1195</v>
      </c>
    </row>
    <row r="17" spans="1:6" x14ac:dyDescent="0.35">
      <c r="A17" s="17">
        <f t="shared" si="0"/>
        <v>46189</v>
      </c>
      <c r="B17" s="5">
        <f>'PowerHouse Data'!C27</f>
        <v>0</v>
      </c>
      <c r="C17" s="5">
        <f>'PowerHouse Data'!$T$12</f>
        <v>6185</v>
      </c>
      <c r="D17" s="5">
        <f>Table8[[#This Row],[FM Final reading]]-Table8[[#This Row],[FM Initial Reading]]</f>
        <v>6185</v>
      </c>
      <c r="E17" s="10">
        <f>Table8[[#This Row],[Use dip (Litres)]]-Table8[[#This Row],[Use FM (Litres)]]</f>
        <v>-6185</v>
      </c>
      <c r="F17" s="39">
        <f>Table113456[[#This Row],[Consumption (Liters)]]</f>
        <v>0</v>
      </c>
    </row>
    <row r="18" spans="1:6" x14ac:dyDescent="0.35">
      <c r="A18" s="17">
        <f t="shared" si="0"/>
        <v>46190</v>
      </c>
      <c r="B18" s="36">
        <f>'PowerHouse Data'!C28</f>
        <v>0</v>
      </c>
      <c r="C18" s="5">
        <f>'PowerHouse Data'!$U$12</f>
        <v>6185</v>
      </c>
      <c r="D18" s="36">
        <f>Table8[[#This Row],[FM Final reading]]-Table8[[#This Row],[FM Initial Reading]]</f>
        <v>6185</v>
      </c>
      <c r="E18" s="37">
        <f>Table8[[#This Row],[Use dip (Litres)]]-Table8[[#This Row],[Use FM (Litres)]]</f>
        <v>-5911</v>
      </c>
      <c r="F18" s="38">
        <f>Table113456[[#This Row],[Consumption (Liters)]]</f>
        <v>274</v>
      </c>
    </row>
    <row r="19" spans="1:6" x14ac:dyDescent="0.35">
      <c r="A19" s="17">
        <f t="shared" si="0"/>
        <v>46191</v>
      </c>
      <c r="B19" s="5">
        <f>'PowerHouse Data'!C29</f>
        <v>0</v>
      </c>
      <c r="C19" s="5">
        <f>'PowerHouse Data'!$V$12</f>
        <v>6185</v>
      </c>
      <c r="D19" s="5">
        <f>Table8[[#This Row],[FM Final reading]]-Table8[[#This Row],[FM Initial Reading]]</f>
        <v>6185</v>
      </c>
      <c r="E19" s="10">
        <f>Table8[[#This Row],[Use dip (Litres)]]-Table8[[#This Row],[Use FM (Litres)]]</f>
        <v>-6185</v>
      </c>
      <c r="F19" s="39">
        <f>Table113456[[#This Row],[Consumption (Liters)]]</f>
        <v>0</v>
      </c>
    </row>
    <row r="20" spans="1:6" x14ac:dyDescent="0.35">
      <c r="A20" s="17">
        <f t="shared" si="0"/>
        <v>46192</v>
      </c>
      <c r="B20" s="36">
        <f>'PowerHouse Data'!C30</f>
        <v>0</v>
      </c>
      <c r="C20" s="5">
        <f>'PowerHouse Data'!$W$12</f>
        <v>6185</v>
      </c>
      <c r="D20" s="36">
        <f>Table8[[#This Row],[FM Final reading]]-Table8[[#This Row],[FM Initial Reading]]</f>
        <v>6185</v>
      </c>
      <c r="E20" s="37">
        <f>Table8[[#This Row],[Use dip (Litres)]]-Table8[[#This Row],[Use FM (Litres)]]</f>
        <v>-1771</v>
      </c>
      <c r="F20" s="38">
        <f>Table113456[[#This Row],[Consumption (Liters)]]</f>
        <v>4414</v>
      </c>
    </row>
    <row r="21" spans="1:6" x14ac:dyDescent="0.35">
      <c r="A21" s="17">
        <f t="shared" si="0"/>
        <v>46193</v>
      </c>
      <c r="B21" s="5">
        <f>'PowerHouse Data'!C31</f>
        <v>0</v>
      </c>
      <c r="C21" s="5">
        <f>'PowerHouse Data'!$X$12</f>
        <v>6185</v>
      </c>
      <c r="D21" s="5">
        <f>Table8[[#This Row],[FM Final reading]]-Table8[[#This Row],[FM Initial Reading]]</f>
        <v>6185</v>
      </c>
      <c r="E21" s="10">
        <f>Table8[[#This Row],[Use dip (Litres)]]-Table8[[#This Row],[Use FM (Litres)]]</f>
        <v>-6185</v>
      </c>
      <c r="F21" s="39">
        <f>Table113456[[#This Row],[Consumption (Liters)]]</f>
        <v>0</v>
      </c>
    </row>
    <row r="22" spans="1:6" x14ac:dyDescent="0.35">
      <c r="A22" s="17">
        <f t="shared" si="0"/>
        <v>46194</v>
      </c>
      <c r="B22" s="36">
        <f>'PowerHouse Data'!C32</f>
        <v>0</v>
      </c>
      <c r="C22" s="5">
        <f>'PowerHouse Data'!$Y$12</f>
        <v>6185</v>
      </c>
      <c r="D22" s="36">
        <f>Table8[[#This Row],[FM Final reading]]-Table8[[#This Row],[FM Initial Reading]]</f>
        <v>6185</v>
      </c>
      <c r="E22" s="37">
        <f>Table8[[#This Row],[Use dip (Litres)]]-Table8[[#This Row],[Use FM (Litres)]]</f>
        <v>-6185</v>
      </c>
      <c r="F22" s="38">
        <f>Table113456[[#This Row],[Consumption (Liters)]]</f>
        <v>0</v>
      </c>
    </row>
    <row r="23" spans="1:6" x14ac:dyDescent="0.35">
      <c r="A23" s="17">
        <f t="shared" si="0"/>
        <v>46195</v>
      </c>
      <c r="B23" s="5">
        <f>'PowerHouse Data'!C33</f>
        <v>0</v>
      </c>
      <c r="C23" s="5">
        <f>'PowerHouse Data'!$Z$12</f>
        <v>6185</v>
      </c>
      <c r="D23" s="5">
        <f>Table8[[#This Row],[FM Final reading]]-Table8[[#This Row],[FM Initial Reading]]</f>
        <v>6185</v>
      </c>
      <c r="E23" s="10">
        <f>Table8[[#This Row],[Use dip (Litres)]]-Table8[[#This Row],[Use FM (Litres)]]</f>
        <v>-5611</v>
      </c>
      <c r="F23" s="39">
        <f>Table113456[[#This Row],[Consumption (Liters)]]</f>
        <v>574</v>
      </c>
    </row>
    <row r="24" spans="1:6" x14ac:dyDescent="0.35">
      <c r="A24" s="17">
        <f t="shared" si="0"/>
        <v>46196</v>
      </c>
      <c r="B24" s="36">
        <f>'PowerHouse Data'!C34</f>
        <v>0</v>
      </c>
      <c r="C24" s="5">
        <f>'PowerHouse Data'!$AA$12</f>
        <v>6185</v>
      </c>
      <c r="D24" s="36">
        <f>Table8[[#This Row],[FM Final reading]]-Table8[[#This Row],[FM Initial Reading]]</f>
        <v>6185</v>
      </c>
      <c r="E24" s="37">
        <f>Table8[[#This Row],[Use dip (Litres)]]-Table8[[#This Row],[Use FM (Litres)]]</f>
        <v>-5821</v>
      </c>
      <c r="F24" s="38">
        <f>Table113456[[#This Row],[Consumption (Liters)]]</f>
        <v>364</v>
      </c>
    </row>
    <row r="25" spans="1:6" x14ac:dyDescent="0.35">
      <c r="A25" s="17">
        <f t="shared" si="0"/>
        <v>46197</v>
      </c>
      <c r="B25" s="5">
        <f>'PowerHouse Data'!C35</f>
        <v>0</v>
      </c>
      <c r="C25" s="5">
        <f>'PowerHouse Data'!$AB$12</f>
        <v>6185</v>
      </c>
      <c r="D25" s="5">
        <f>Table8[[#This Row],[FM Final reading]]-Table8[[#This Row],[FM Initial Reading]]</f>
        <v>6185</v>
      </c>
      <c r="E25" s="10">
        <f>Table8[[#This Row],[Use dip (Litres)]]-Table8[[#This Row],[Use FM (Litres)]]</f>
        <v>-6185</v>
      </c>
      <c r="F25" s="39">
        <f>Table113456[[#This Row],[Consumption (Liters)]]</f>
        <v>0</v>
      </c>
    </row>
    <row r="26" spans="1:6" x14ac:dyDescent="0.35">
      <c r="A26" s="17">
        <f t="shared" si="0"/>
        <v>46198</v>
      </c>
      <c r="B26" s="36">
        <f>'PowerHouse Data'!C36</f>
        <v>0</v>
      </c>
      <c r="C26" s="5">
        <f>'PowerHouse Data'!$AC$12</f>
        <v>6185</v>
      </c>
      <c r="D26" s="36">
        <f>Table8[[#This Row],[FM Final reading]]-Table8[[#This Row],[FM Initial Reading]]</f>
        <v>6185</v>
      </c>
      <c r="E26" s="37">
        <f>Table8[[#This Row],[Use dip (Litres)]]-Table8[[#This Row],[Use FM (Litres)]]</f>
        <v>-6185</v>
      </c>
      <c r="F26" s="38">
        <f>Table113456[[#This Row],[Consumption (Liters)]]</f>
        <v>0</v>
      </c>
    </row>
    <row r="27" spans="1:6" x14ac:dyDescent="0.35">
      <c r="A27" s="17">
        <f t="shared" si="0"/>
        <v>46199</v>
      </c>
      <c r="B27" s="5">
        <f>'PowerHouse Data'!C37</f>
        <v>0</v>
      </c>
      <c r="C27" s="5">
        <f>'PowerHouse Data'!$AD$12</f>
        <v>6185</v>
      </c>
      <c r="D27" s="5">
        <f>Table8[[#This Row],[FM Final reading]]-Table8[[#This Row],[FM Initial Reading]]</f>
        <v>6185</v>
      </c>
      <c r="E27" s="10">
        <f>Table8[[#This Row],[Use dip (Litres)]]-Table8[[#This Row],[Use FM (Litres)]]</f>
        <v>-6185</v>
      </c>
      <c r="F27" s="39">
        <f>Table113456[[#This Row],[Consumption (Liters)]]</f>
        <v>0</v>
      </c>
    </row>
    <row r="28" spans="1:6" x14ac:dyDescent="0.35">
      <c r="A28" s="17">
        <f t="shared" si="0"/>
        <v>46200</v>
      </c>
      <c r="B28" s="36">
        <f>'PowerHouse Data'!C38</f>
        <v>0</v>
      </c>
      <c r="C28" s="5">
        <f>'PowerHouse Data'!$AE$12</f>
        <v>6185</v>
      </c>
      <c r="D28" s="36">
        <f>Table8[[#This Row],[FM Final reading]]-Table8[[#This Row],[FM Initial Reading]]</f>
        <v>6185</v>
      </c>
      <c r="E28" s="37">
        <f>Table8[[#This Row],[Use dip (Litres)]]-Table8[[#This Row],[Use FM (Litres)]]</f>
        <v>-6185</v>
      </c>
      <c r="F28" s="38">
        <f>Table113456[[#This Row],[Consumption (Liters)]]</f>
        <v>0</v>
      </c>
    </row>
    <row r="29" spans="1:6" x14ac:dyDescent="0.35">
      <c r="A29" s="17">
        <f t="shared" si="0"/>
        <v>46201</v>
      </c>
      <c r="B29" s="5">
        <f>'PowerHouse Data'!C39</f>
        <v>0</v>
      </c>
      <c r="C29" s="5">
        <f>'PowerHouse Data'!$AF$12</f>
        <v>6185</v>
      </c>
      <c r="D29" s="5">
        <f>Table8[[#This Row],[FM Final reading]]-Table8[[#This Row],[FM Initial Reading]]</f>
        <v>6185</v>
      </c>
      <c r="E29" s="10">
        <f>Table8[[#This Row],[Use dip (Litres)]]-Table8[[#This Row],[Use FM (Litres)]]</f>
        <v>-5890</v>
      </c>
      <c r="F29" s="39">
        <f>Table113456[[#This Row],[Consumption (Liters)]]</f>
        <v>295</v>
      </c>
    </row>
    <row r="30" spans="1:6" x14ac:dyDescent="0.35">
      <c r="A30" s="17">
        <f t="shared" si="0"/>
        <v>46202</v>
      </c>
      <c r="B30" s="36">
        <f>'PowerHouse Data'!C40</f>
        <v>0</v>
      </c>
      <c r="C30" s="5">
        <f>'PowerHouse Data'!$AG$12</f>
        <v>6185</v>
      </c>
      <c r="D30" s="36">
        <f>Table8[[#This Row],[FM Final reading]]-Table8[[#This Row],[FM Initial Reading]]</f>
        <v>6185</v>
      </c>
      <c r="E30" s="37">
        <f>Table8[[#This Row],[Use dip (Litres)]]-Table8[[#This Row],[Use FM (Litres)]]</f>
        <v>-6185</v>
      </c>
      <c r="F30" s="38">
        <f>Table113456[[#This Row],[Consumption (Liters)]]</f>
        <v>0</v>
      </c>
    </row>
    <row r="31" spans="1:6" x14ac:dyDescent="0.35">
      <c r="A31" s="17">
        <f t="shared" si="0"/>
        <v>46203</v>
      </c>
      <c r="B31" s="7">
        <f>'PowerHouse Data'!C41</f>
        <v>0</v>
      </c>
      <c r="C31" s="5">
        <f>'PowerHouse Data'!$AH$12</f>
        <v>6185</v>
      </c>
      <c r="D31" s="7">
        <f>Table8[[#This Row],[FM Final reading]]-Table8[[#This Row],[FM Initial Reading]]</f>
        <v>6185</v>
      </c>
      <c r="E31" s="40">
        <f>Table8[[#This Row],[Use dip (Litres)]]-Table8[[#This Row],[Use FM (Litres)]]</f>
        <v>31093</v>
      </c>
      <c r="F31" s="41">
        <f>Table113456[[#This Row],[Consumption (Liters)]]</f>
        <v>37278</v>
      </c>
    </row>
    <row r="33" spans="4:6" x14ac:dyDescent="0.35">
      <c r="D33">
        <f>SUM(D8:D17)</f>
        <v>61850</v>
      </c>
      <c r="E33">
        <f t="shared" ref="E33:F33" si="1">SUM(E8:E17)</f>
        <v>-56015</v>
      </c>
      <c r="F33">
        <f t="shared" si="1"/>
        <v>5835</v>
      </c>
    </row>
    <row r="40" spans="4:6" x14ac:dyDescent="0.35">
      <c r="F40" s="22"/>
    </row>
    <row r="41" spans="4:6" x14ac:dyDescent="0.35">
      <c r="F41" s="22"/>
    </row>
    <row r="42" spans="4:6" x14ac:dyDescent="0.35">
      <c r="F42" s="22"/>
    </row>
    <row r="43" spans="4:6" x14ac:dyDescent="0.35">
      <c r="F43" s="22"/>
    </row>
    <row r="44" spans="4:6" x14ac:dyDescent="0.35">
      <c r="F44" s="22"/>
    </row>
    <row r="45" spans="4:6" x14ac:dyDescent="0.35">
      <c r="F45" s="22"/>
    </row>
    <row r="46" spans="4:6" x14ac:dyDescent="0.35">
      <c r="F46" s="22"/>
    </row>
    <row r="47" spans="4:6" x14ac:dyDescent="0.35">
      <c r="F47" s="22"/>
    </row>
    <row r="48" spans="4:6" x14ac:dyDescent="0.35">
      <c r="F48" s="22"/>
    </row>
    <row r="49" spans="6:6" x14ac:dyDescent="0.35">
      <c r="F49" s="22"/>
    </row>
    <row r="50" spans="6:6" x14ac:dyDescent="0.35">
      <c r="F50" s="22"/>
    </row>
  </sheetData>
  <sheetProtection algorithmName="SHA-512" hashValue="SJh+iHYGwshGAGmxVXEViyqsE5ZnHoqy+DHs48yQUFU83IFOOP0SANX26qReLDVIMZsMbnJNvmnAsirtBhtPsQ==" saltValue="oHzk8TNgEkHLnRJ7eaYJhw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PowerHouse Data</vt:lpstr>
      <vt:lpstr>Compressor</vt:lpstr>
      <vt:lpstr>Diesel</vt:lpstr>
      <vt:lpstr>EB</vt:lpstr>
      <vt:lpstr>Flowmeter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Sahai</dc:creator>
  <cp:lastModifiedBy>Punith Lachma Naik</cp:lastModifiedBy>
  <cp:lastPrinted>2026-04-07T06:47:10Z</cp:lastPrinted>
  <dcterms:created xsi:type="dcterms:W3CDTF">2015-06-05T18:17:20Z</dcterms:created>
  <dcterms:modified xsi:type="dcterms:W3CDTF">2026-06-29T06:42:36Z</dcterms:modified>
</cp:coreProperties>
</file>