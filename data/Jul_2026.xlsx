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mis\data\"/>
    </mc:Choice>
  </mc:AlternateContent>
  <xr:revisionPtr revIDLastSave="0" documentId="13_ncr:1_{FFD7AB1B-94E6-4333-B6FC-889BECC7265A}" xr6:coauthVersionLast="47" xr6:coauthVersionMax="47" xr10:uidLastSave="{00000000-0000-0000-0000-000000000000}"/>
  <bookViews>
    <workbookView xWindow="0" yWindow="360" windowWidth="19420" windowHeight="11500" tabRatio="516" activeTab="3" xr2:uid="{00000000-000D-0000-FFFF-FFFF00000000}"/>
  </bookViews>
  <sheets>
    <sheet name="PowerHouse Data" sheetId="2" r:id="rId1"/>
    <sheet name="Summary" sheetId="1" r:id="rId2"/>
    <sheet name="Compressor" sheetId="3" r:id="rId3"/>
    <sheet name="Diesel" sheetId="4" r:id="rId4"/>
    <sheet name="EB" sheetId="5" r:id="rId5"/>
  </sheets>
  <externalReferences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9" i="4" l="1"/>
  <c r="R37" i="4"/>
  <c r="S37" i="4"/>
  <c r="S9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8" i="4"/>
  <c r="S7" i="4"/>
  <c r="S6" i="4"/>
  <c r="S5" i="4"/>
  <c r="S4" i="4"/>
  <c r="S2" i="4"/>
  <c r="AE14" i="2" l="1"/>
  <c r="S14" i="2"/>
  <c r="Q14" i="2"/>
  <c r="M14" i="2"/>
  <c r="I14" i="2"/>
  <c r="K25" i="4"/>
  <c r="V35" i="4"/>
  <c r="V34" i="4"/>
  <c r="V33" i="4"/>
  <c r="H34" i="3" l="1"/>
  <c r="D35" i="4"/>
  <c r="H35" i="4" s="1"/>
  <c r="I35" i="4" s="1"/>
  <c r="X35" i="1" s="1"/>
  <c r="F35" i="4"/>
  <c r="K35" i="4"/>
  <c r="J35" i="4" s="1"/>
  <c r="H35" i="1" s="1"/>
  <c r="M35" i="4"/>
  <c r="O35" i="4"/>
  <c r="O35" i="1" s="1"/>
  <c r="Q35" i="4"/>
  <c r="P35" i="1" s="1"/>
  <c r="R35" i="4"/>
  <c r="K35" i="1"/>
  <c r="L35" i="1"/>
  <c r="M35" i="1"/>
  <c r="N35" i="1"/>
  <c r="C35" i="3"/>
  <c r="D35" i="3" s="1"/>
  <c r="D34" i="3"/>
  <c r="F35" i="3"/>
  <c r="G35" i="3"/>
  <c r="I35" i="3"/>
  <c r="L35" i="3"/>
  <c r="M35" i="3"/>
  <c r="H35" i="3"/>
  <c r="F35" i="1" s="1"/>
  <c r="R34" i="4"/>
  <c r="R33" i="4"/>
  <c r="M34" i="4"/>
  <c r="M33" i="4"/>
  <c r="K34" i="4"/>
  <c r="K33" i="4"/>
  <c r="F34" i="4"/>
  <c r="F32" i="4"/>
  <c r="D34" i="4"/>
  <c r="C35" i="4" s="1"/>
  <c r="E35" i="4" s="1"/>
  <c r="D33" i="4"/>
  <c r="C34" i="4" s="1"/>
  <c r="E34" i="4" s="1"/>
  <c r="G35" i="5"/>
  <c r="F35" i="5"/>
  <c r="C35" i="5"/>
  <c r="G34" i="5"/>
  <c r="I34" i="5" s="1"/>
  <c r="F34" i="5"/>
  <c r="C34" i="5"/>
  <c r="D35" i="5" s="1"/>
  <c r="C35" i="1" s="1"/>
  <c r="L34" i="3"/>
  <c r="M34" i="3" s="1"/>
  <c r="I34" i="3"/>
  <c r="F34" i="3"/>
  <c r="E35" i="3" s="1"/>
  <c r="E35" i="1" s="1"/>
  <c r="J34" i="3"/>
  <c r="C34" i="3"/>
  <c r="B34" i="3" s="1"/>
  <c r="C33" i="3"/>
  <c r="L33" i="3"/>
  <c r="F33" i="3"/>
  <c r="I33" i="3"/>
  <c r="AH14" i="2"/>
  <c r="F24" i="5"/>
  <c r="G24" i="5"/>
  <c r="K35" i="3" l="1"/>
  <c r="G35" i="1" s="1"/>
  <c r="K34" i="3"/>
  <c r="E34" i="3"/>
  <c r="G34" i="3"/>
  <c r="B35" i="3"/>
  <c r="D35" i="1" s="1"/>
  <c r="L35" i="4"/>
  <c r="I35" i="1" s="1"/>
  <c r="I35" i="5"/>
  <c r="D34" i="5"/>
  <c r="G35" i="4"/>
  <c r="H34" i="4"/>
  <c r="G34" i="4" s="1"/>
  <c r="J34" i="4"/>
  <c r="J35" i="3"/>
  <c r="L34" i="4"/>
  <c r="E34" i="5"/>
  <c r="E35" i="5"/>
  <c r="J35" i="5" s="1"/>
  <c r="H35" i="5"/>
  <c r="H34" i="5"/>
  <c r="B35" i="1" l="1"/>
  <c r="S35" i="4"/>
  <c r="J34" i="5"/>
  <c r="I34" i="4"/>
  <c r="X34" i="1" s="1"/>
  <c r="M25" i="4" l="1"/>
  <c r="M24" i="4"/>
  <c r="K24" i="4"/>
  <c r="L24" i="3"/>
  <c r="I34" i="1"/>
  <c r="H13" i="2"/>
  <c r="B2" i="1" l="1"/>
  <c r="C2" i="1"/>
  <c r="D2" i="1"/>
  <c r="E2" i="1"/>
  <c r="F2" i="1"/>
  <c r="G2" i="1"/>
  <c r="H2" i="1"/>
  <c r="I2" i="1"/>
  <c r="K2" i="1"/>
  <c r="L2" i="1"/>
  <c r="M2" i="1"/>
  <c r="N2" i="1"/>
  <c r="O2" i="1"/>
  <c r="P2" i="1"/>
  <c r="C34" i="1"/>
  <c r="D34" i="1"/>
  <c r="E34" i="1"/>
  <c r="G34" i="1"/>
  <c r="H34" i="1"/>
  <c r="K34" i="1"/>
  <c r="L34" i="1"/>
  <c r="M34" i="1"/>
  <c r="N34" i="1"/>
  <c r="B34" i="1"/>
  <c r="O34" i="4"/>
  <c r="Q34" i="4"/>
  <c r="V10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9" i="4"/>
  <c r="V8" i="4"/>
  <c r="V7" i="4"/>
  <c r="V6" i="4"/>
  <c r="V5" i="4"/>
  <c r="V4" i="4"/>
  <c r="V3" i="4"/>
  <c r="V2" i="4"/>
  <c r="L14" i="2" l="1"/>
  <c r="R7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6" i="4"/>
  <c r="R5" i="4"/>
  <c r="R4" i="4"/>
  <c r="R3" i="4"/>
  <c r="V11" i="4" l="1"/>
  <c r="V12" i="4"/>
  <c r="G3" i="5"/>
  <c r="G33" i="5"/>
  <c r="G32" i="5"/>
  <c r="G31" i="5"/>
  <c r="G30" i="5"/>
  <c r="G29" i="5"/>
  <c r="G28" i="5"/>
  <c r="G27" i="5"/>
  <c r="G26" i="5"/>
  <c r="G25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F33" i="5"/>
  <c r="F32" i="5"/>
  <c r="F31" i="5"/>
  <c r="F30" i="5"/>
  <c r="F29" i="5"/>
  <c r="F28" i="5"/>
  <c r="F27" i="5"/>
  <c r="F26" i="5"/>
  <c r="F25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G2" i="5"/>
  <c r="E14" i="5" l="1"/>
  <c r="H33" i="4"/>
  <c r="I33" i="4" s="1"/>
  <c r="X33" i="1" s="1"/>
  <c r="F33" i="4"/>
  <c r="G33" i="3"/>
  <c r="L33" i="1" s="1"/>
  <c r="F34" i="1"/>
  <c r="M33" i="3"/>
  <c r="N33" i="1" s="1"/>
  <c r="H3" i="5"/>
  <c r="I3" i="5"/>
  <c r="B3" i="3"/>
  <c r="D3" i="1" s="1"/>
  <c r="I29" i="5"/>
  <c r="I17" i="5"/>
  <c r="I5" i="5"/>
  <c r="H29" i="5"/>
  <c r="H27" i="5"/>
  <c r="H17" i="5"/>
  <c r="H16" i="5"/>
  <c r="L3" i="4"/>
  <c r="I3" i="1" s="1"/>
  <c r="J3" i="4"/>
  <c r="H3" i="1" s="1"/>
  <c r="K3" i="3"/>
  <c r="G3" i="1" s="1"/>
  <c r="H3" i="3"/>
  <c r="F3" i="1" s="1"/>
  <c r="E3" i="3"/>
  <c r="E3" i="1" s="1"/>
  <c r="C3" i="4"/>
  <c r="E3" i="4" s="1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D3" i="5" s="1"/>
  <c r="C3" i="1" s="1"/>
  <c r="M32" i="4"/>
  <c r="Q32" i="4" s="1"/>
  <c r="P32" i="1" s="1"/>
  <c r="M31" i="4"/>
  <c r="M30" i="4"/>
  <c r="Q30" i="4" s="1"/>
  <c r="P30" i="1" s="1"/>
  <c r="M29" i="4"/>
  <c r="M28" i="4"/>
  <c r="M27" i="4"/>
  <c r="Q27" i="4" s="1"/>
  <c r="P27" i="1" s="1"/>
  <c r="M26" i="4"/>
  <c r="Q26" i="4" s="1"/>
  <c r="P26" i="1" s="1"/>
  <c r="Q24" i="4"/>
  <c r="P24" i="1" s="1"/>
  <c r="M23" i="4"/>
  <c r="M22" i="4"/>
  <c r="Q22" i="4" s="1"/>
  <c r="P22" i="1" s="1"/>
  <c r="M21" i="4"/>
  <c r="M20" i="4"/>
  <c r="Q20" i="4" s="1"/>
  <c r="P20" i="1" s="1"/>
  <c r="M19" i="4"/>
  <c r="M18" i="4"/>
  <c r="Q18" i="4" s="1"/>
  <c r="P18" i="1" s="1"/>
  <c r="M17" i="4"/>
  <c r="Q17" i="4" s="1"/>
  <c r="P17" i="1" s="1"/>
  <c r="M16" i="4"/>
  <c r="Q16" i="4" s="1"/>
  <c r="P16" i="1" s="1"/>
  <c r="M15" i="4"/>
  <c r="Q15" i="4" s="1"/>
  <c r="P15" i="1" s="1"/>
  <c r="M14" i="4"/>
  <c r="Q14" i="4" s="1"/>
  <c r="P14" i="1" s="1"/>
  <c r="M13" i="4"/>
  <c r="M12" i="4"/>
  <c r="Q12" i="4" s="1"/>
  <c r="P12" i="1" s="1"/>
  <c r="M11" i="4"/>
  <c r="M10" i="4"/>
  <c r="M9" i="4"/>
  <c r="M8" i="4"/>
  <c r="M7" i="4"/>
  <c r="M6" i="4"/>
  <c r="Q6" i="4" s="1"/>
  <c r="P6" i="1" s="1"/>
  <c r="M5" i="4"/>
  <c r="M4" i="4"/>
  <c r="Q4" i="4" s="1"/>
  <c r="P4" i="1" s="1"/>
  <c r="M3" i="4"/>
  <c r="Q3" i="4" s="1"/>
  <c r="P3" i="1" s="1"/>
  <c r="K32" i="4"/>
  <c r="K31" i="4"/>
  <c r="O31" i="4" s="1"/>
  <c r="O31" i="1" s="1"/>
  <c r="K30" i="4"/>
  <c r="K29" i="4"/>
  <c r="K28" i="4"/>
  <c r="K27" i="4"/>
  <c r="O27" i="4" s="1"/>
  <c r="O27" i="1" s="1"/>
  <c r="K26" i="4"/>
  <c r="O25" i="4"/>
  <c r="O25" i="1" s="1"/>
  <c r="O24" i="4"/>
  <c r="O24" i="1" s="1"/>
  <c r="K23" i="4"/>
  <c r="K22" i="4"/>
  <c r="O22" i="4" s="1"/>
  <c r="O22" i="1" s="1"/>
  <c r="K21" i="4"/>
  <c r="K20" i="4"/>
  <c r="K19" i="4"/>
  <c r="O19" i="4" s="1"/>
  <c r="O19" i="1" s="1"/>
  <c r="K18" i="4"/>
  <c r="K17" i="4"/>
  <c r="K16" i="4"/>
  <c r="O16" i="4" s="1"/>
  <c r="O16" i="1" s="1"/>
  <c r="K15" i="4"/>
  <c r="K14" i="4"/>
  <c r="K13" i="4"/>
  <c r="K12" i="4"/>
  <c r="K11" i="4"/>
  <c r="O11" i="4" s="1"/>
  <c r="O11" i="1" s="1"/>
  <c r="K10" i="4"/>
  <c r="O10" i="4" s="1"/>
  <c r="O10" i="1" s="1"/>
  <c r="K9" i="4"/>
  <c r="O9" i="4" s="1"/>
  <c r="O9" i="1" s="1"/>
  <c r="K8" i="4"/>
  <c r="K7" i="4"/>
  <c r="O7" i="4" s="1"/>
  <c r="O7" i="1" s="1"/>
  <c r="K6" i="4"/>
  <c r="K5" i="4"/>
  <c r="K4" i="4"/>
  <c r="O4" i="4" s="1"/>
  <c r="O4" i="1" s="1"/>
  <c r="K3" i="4"/>
  <c r="O3" i="4" s="1"/>
  <c r="O3" i="1" s="1"/>
  <c r="D32" i="4"/>
  <c r="H32" i="4" s="1"/>
  <c r="I32" i="4" s="1"/>
  <c r="X32" i="1" s="1"/>
  <c r="D31" i="4"/>
  <c r="H31" i="4" s="1"/>
  <c r="I31" i="4" s="1"/>
  <c r="X31" i="1" s="1"/>
  <c r="D30" i="4"/>
  <c r="H30" i="4" s="1"/>
  <c r="I30" i="4" s="1"/>
  <c r="X30" i="1" s="1"/>
  <c r="D29" i="4"/>
  <c r="H29" i="4" s="1"/>
  <c r="I29" i="4" s="1"/>
  <c r="X29" i="1" s="1"/>
  <c r="D28" i="4"/>
  <c r="H28" i="4" s="1"/>
  <c r="I28" i="4" s="1"/>
  <c r="X28" i="1" s="1"/>
  <c r="D27" i="4"/>
  <c r="D26" i="4"/>
  <c r="H26" i="4" s="1"/>
  <c r="I26" i="4" s="1"/>
  <c r="X26" i="1" s="1"/>
  <c r="D25" i="4"/>
  <c r="D24" i="4"/>
  <c r="H24" i="4" s="1"/>
  <c r="I24" i="4" s="1"/>
  <c r="X24" i="1" s="1"/>
  <c r="D23" i="4"/>
  <c r="D22" i="4"/>
  <c r="H22" i="4" s="1"/>
  <c r="I22" i="4" s="1"/>
  <c r="X22" i="1" s="1"/>
  <c r="D21" i="4"/>
  <c r="H21" i="4" s="1"/>
  <c r="I21" i="4" s="1"/>
  <c r="X21" i="1" s="1"/>
  <c r="D20" i="4"/>
  <c r="D19" i="4"/>
  <c r="H19" i="4" s="1"/>
  <c r="I19" i="4" s="1"/>
  <c r="X19" i="1" s="1"/>
  <c r="D18" i="4"/>
  <c r="D17" i="4"/>
  <c r="D16" i="4"/>
  <c r="D15" i="4"/>
  <c r="D14" i="4"/>
  <c r="D13" i="4"/>
  <c r="H13" i="4" s="1"/>
  <c r="I13" i="4" s="1"/>
  <c r="X13" i="1" s="1"/>
  <c r="D12" i="4"/>
  <c r="H12" i="4" s="1"/>
  <c r="I12" i="4" s="1"/>
  <c r="X12" i="1" s="1"/>
  <c r="D11" i="4"/>
  <c r="H11" i="4" s="1"/>
  <c r="I11" i="4" s="1"/>
  <c r="X11" i="1" s="1"/>
  <c r="D10" i="4"/>
  <c r="H10" i="4" s="1"/>
  <c r="I10" i="4" s="1"/>
  <c r="X10" i="1" s="1"/>
  <c r="D9" i="4"/>
  <c r="D8" i="4"/>
  <c r="H8" i="4" s="1"/>
  <c r="I8" i="4" s="1"/>
  <c r="X8" i="1" s="1"/>
  <c r="D7" i="4"/>
  <c r="H7" i="4" s="1"/>
  <c r="I7" i="4" s="1"/>
  <c r="X7" i="1" s="1"/>
  <c r="D6" i="4"/>
  <c r="D5" i="4"/>
  <c r="H5" i="4" s="1"/>
  <c r="I5" i="4" s="1"/>
  <c r="X5" i="1" s="1"/>
  <c r="D4" i="4"/>
  <c r="H4" i="4" s="1"/>
  <c r="I4" i="4" s="1"/>
  <c r="X4" i="1" s="1"/>
  <c r="D3" i="4"/>
  <c r="L32" i="3"/>
  <c r="L31" i="3"/>
  <c r="L30" i="3"/>
  <c r="L29" i="3"/>
  <c r="M29" i="3" s="1"/>
  <c r="N29" i="1" s="1"/>
  <c r="L28" i="3"/>
  <c r="M28" i="3" s="1"/>
  <c r="N28" i="1" s="1"/>
  <c r="L27" i="3"/>
  <c r="L26" i="3"/>
  <c r="M26" i="3" s="1"/>
  <c r="N26" i="1" s="1"/>
  <c r="L25" i="3"/>
  <c r="M24" i="3"/>
  <c r="N24" i="1" s="1"/>
  <c r="L23" i="3"/>
  <c r="L22" i="3"/>
  <c r="M22" i="3" s="1"/>
  <c r="N22" i="1" s="1"/>
  <c r="L21" i="3"/>
  <c r="L20" i="3"/>
  <c r="M20" i="3" s="1"/>
  <c r="N20" i="1" s="1"/>
  <c r="L19" i="3"/>
  <c r="L18" i="3"/>
  <c r="L17" i="3"/>
  <c r="L16" i="3"/>
  <c r="L15" i="3"/>
  <c r="L14" i="3"/>
  <c r="M14" i="3" s="1"/>
  <c r="N14" i="1" s="1"/>
  <c r="L13" i="3"/>
  <c r="M13" i="3" s="1"/>
  <c r="N13" i="1" s="1"/>
  <c r="L12" i="3"/>
  <c r="M12" i="3" s="1"/>
  <c r="N12" i="1" s="1"/>
  <c r="L11" i="3"/>
  <c r="M11" i="3" s="1"/>
  <c r="N11" i="1" s="1"/>
  <c r="L10" i="3"/>
  <c r="M10" i="3" s="1"/>
  <c r="N10" i="1" s="1"/>
  <c r="L9" i="3"/>
  <c r="L8" i="3"/>
  <c r="M8" i="3" s="1"/>
  <c r="N8" i="1" s="1"/>
  <c r="L7" i="3"/>
  <c r="L6" i="3"/>
  <c r="L5" i="3"/>
  <c r="M5" i="3" s="1"/>
  <c r="N5" i="1" s="1"/>
  <c r="L4" i="3"/>
  <c r="L3" i="3"/>
  <c r="M3" i="3" s="1"/>
  <c r="N3" i="1" s="1"/>
  <c r="I32" i="3"/>
  <c r="J32" i="3" s="1"/>
  <c r="M32" i="1" s="1"/>
  <c r="I31" i="3"/>
  <c r="H32" i="3" s="1"/>
  <c r="F32" i="1" s="1"/>
  <c r="I30" i="3"/>
  <c r="J30" i="3" s="1"/>
  <c r="M30" i="1" s="1"/>
  <c r="I29" i="3"/>
  <c r="J29" i="3" s="1"/>
  <c r="M29" i="1" s="1"/>
  <c r="I28" i="3"/>
  <c r="J28" i="3" s="1"/>
  <c r="M28" i="1" s="1"/>
  <c r="I27" i="3"/>
  <c r="J27" i="3" s="1"/>
  <c r="M27" i="1" s="1"/>
  <c r="I26" i="3"/>
  <c r="I25" i="3"/>
  <c r="I24" i="3"/>
  <c r="J24" i="3" s="1"/>
  <c r="M24" i="1" s="1"/>
  <c r="I23" i="3"/>
  <c r="J23" i="3" s="1"/>
  <c r="M23" i="1" s="1"/>
  <c r="I22" i="3"/>
  <c r="I21" i="3"/>
  <c r="I20" i="3"/>
  <c r="I19" i="3"/>
  <c r="J19" i="3" s="1"/>
  <c r="M19" i="1" s="1"/>
  <c r="I18" i="3"/>
  <c r="I17" i="3"/>
  <c r="J17" i="3" s="1"/>
  <c r="M17" i="1" s="1"/>
  <c r="I16" i="3"/>
  <c r="I15" i="3"/>
  <c r="J15" i="3" s="1"/>
  <c r="M15" i="1" s="1"/>
  <c r="I14" i="3"/>
  <c r="I13" i="3"/>
  <c r="I12" i="3"/>
  <c r="J12" i="3" s="1"/>
  <c r="M12" i="1" s="1"/>
  <c r="I11" i="3"/>
  <c r="J11" i="3" s="1"/>
  <c r="M11" i="1" s="1"/>
  <c r="I10" i="3"/>
  <c r="I9" i="3"/>
  <c r="I8" i="3"/>
  <c r="J8" i="3" s="1"/>
  <c r="M8" i="1" s="1"/>
  <c r="I7" i="3"/>
  <c r="I6" i="3"/>
  <c r="I5" i="3"/>
  <c r="J5" i="3" s="1"/>
  <c r="M5" i="1" s="1"/>
  <c r="I4" i="3"/>
  <c r="I3" i="3"/>
  <c r="F32" i="3"/>
  <c r="G32" i="3" s="1"/>
  <c r="L32" i="1" s="1"/>
  <c r="F31" i="3"/>
  <c r="F30" i="3"/>
  <c r="F29" i="3"/>
  <c r="G29" i="3" s="1"/>
  <c r="L29" i="1" s="1"/>
  <c r="F28" i="3"/>
  <c r="G28" i="3" s="1"/>
  <c r="L28" i="1" s="1"/>
  <c r="F27" i="3"/>
  <c r="G27" i="3" s="1"/>
  <c r="L27" i="1" s="1"/>
  <c r="F26" i="3"/>
  <c r="F25" i="3"/>
  <c r="G25" i="3" s="1"/>
  <c r="L25" i="1" s="1"/>
  <c r="F24" i="3"/>
  <c r="F23" i="3"/>
  <c r="F22" i="3"/>
  <c r="F21" i="3"/>
  <c r="F20" i="3"/>
  <c r="F19" i="3"/>
  <c r="G19" i="3" s="1"/>
  <c r="L19" i="1" s="1"/>
  <c r="F18" i="3"/>
  <c r="G18" i="3" s="1"/>
  <c r="L18" i="1" s="1"/>
  <c r="F17" i="3"/>
  <c r="G17" i="3" s="1"/>
  <c r="L17" i="1" s="1"/>
  <c r="F16" i="3"/>
  <c r="G16" i="3" s="1"/>
  <c r="L16" i="1" s="1"/>
  <c r="F15" i="3"/>
  <c r="G15" i="3" s="1"/>
  <c r="L15" i="1" s="1"/>
  <c r="F14" i="3"/>
  <c r="F13" i="3"/>
  <c r="G13" i="3" s="1"/>
  <c r="L13" i="1" s="1"/>
  <c r="F12" i="3"/>
  <c r="F11" i="3"/>
  <c r="G11" i="3" s="1"/>
  <c r="L11" i="1" s="1"/>
  <c r="F10" i="3"/>
  <c r="F9" i="3"/>
  <c r="G9" i="3" s="1"/>
  <c r="L9" i="1" s="1"/>
  <c r="F8" i="3"/>
  <c r="G8" i="3" s="1"/>
  <c r="L8" i="1" s="1"/>
  <c r="F7" i="3"/>
  <c r="F6" i="3"/>
  <c r="G6" i="3" s="1"/>
  <c r="L6" i="1" s="1"/>
  <c r="F5" i="3"/>
  <c r="G5" i="3" s="1"/>
  <c r="L5" i="1" s="1"/>
  <c r="F4" i="3"/>
  <c r="G4" i="3" s="1"/>
  <c r="L4" i="1" s="1"/>
  <c r="F3" i="3"/>
  <c r="G3" i="3" s="1"/>
  <c r="L3" i="1" s="1"/>
  <c r="C3" i="3"/>
  <c r="C4" i="3"/>
  <c r="C5" i="3"/>
  <c r="C6" i="3"/>
  <c r="D6" i="3" s="1"/>
  <c r="K6" i="1" s="1"/>
  <c r="C7" i="3"/>
  <c r="C8" i="3"/>
  <c r="D8" i="3" s="1"/>
  <c r="K8" i="1" s="1"/>
  <c r="C9" i="3"/>
  <c r="D9" i="3" s="1"/>
  <c r="K9" i="1" s="1"/>
  <c r="C10" i="3"/>
  <c r="D10" i="3" s="1"/>
  <c r="K10" i="1" s="1"/>
  <c r="C11" i="3"/>
  <c r="C12" i="3"/>
  <c r="D12" i="3" s="1"/>
  <c r="K12" i="1" s="1"/>
  <c r="C13" i="3"/>
  <c r="D13" i="3" s="1"/>
  <c r="K13" i="1" s="1"/>
  <c r="C14" i="3"/>
  <c r="D14" i="3" s="1"/>
  <c r="K14" i="1" s="1"/>
  <c r="C15" i="3"/>
  <c r="D15" i="3" s="1"/>
  <c r="K15" i="1" s="1"/>
  <c r="C16" i="3"/>
  <c r="D16" i="3" s="1"/>
  <c r="K16" i="1" s="1"/>
  <c r="C17" i="3"/>
  <c r="C18" i="3"/>
  <c r="C19" i="3"/>
  <c r="C20" i="3"/>
  <c r="C21" i="3"/>
  <c r="D21" i="3" s="1"/>
  <c r="K21" i="1" s="1"/>
  <c r="C22" i="3"/>
  <c r="C23" i="3"/>
  <c r="C24" i="3"/>
  <c r="D24" i="3" s="1"/>
  <c r="K24" i="1" s="1"/>
  <c r="C25" i="3"/>
  <c r="C26" i="3"/>
  <c r="D26" i="3" s="1"/>
  <c r="K26" i="1" s="1"/>
  <c r="C27" i="3"/>
  <c r="D27" i="3" s="1"/>
  <c r="K27" i="1" s="1"/>
  <c r="C28" i="3"/>
  <c r="C29" i="3"/>
  <c r="C30" i="3"/>
  <c r="C31" i="3"/>
  <c r="C32" i="3"/>
  <c r="D32" i="3" s="1"/>
  <c r="K32" i="1" s="1"/>
  <c r="M32" i="3"/>
  <c r="N32" i="1" s="1"/>
  <c r="F3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G31" i="3"/>
  <c r="L31" i="1" s="1"/>
  <c r="G20" i="3"/>
  <c r="L20" i="1" s="1"/>
  <c r="C27" i="4" l="1"/>
  <c r="E27" i="4" s="1"/>
  <c r="D33" i="5"/>
  <c r="C33" i="1" s="1"/>
  <c r="E27" i="3"/>
  <c r="E27" i="1" s="1"/>
  <c r="E33" i="3"/>
  <c r="E33" i="1" s="1"/>
  <c r="E21" i="3"/>
  <c r="E21" i="1" s="1"/>
  <c r="K25" i="3"/>
  <c r="G25" i="1" s="1"/>
  <c r="K21" i="3"/>
  <c r="G21" i="1" s="1"/>
  <c r="H20" i="3"/>
  <c r="F20" i="1" s="1"/>
  <c r="E16" i="3"/>
  <c r="E16" i="1" s="1"/>
  <c r="J31" i="3"/>
  <c r="M31" i="1" s="1"/>
  <c r="B25" i="3"/>
  <c r="D25" i="1" s="1"/>
  <c r="H11" i="3"/>
  <c r="F11" i="1" s="1"/>
  <c r="H23" i="3"/>
  <c r="F23" i="1" s="1"/>
  <c r="D20" i="5"/>
  <c r="C20" i="1" s="1"/>
  <c r="D32" i="5"/>
  <c r="C32" i="1" s="1"/>
  <c r="J20" i="3"/>
  <c r="M20" i="1" s="1"/>
  <c r="D25" i="3"/>
  <c r="K25" i="1" s="1"/>
  <c r="D10" i="5"/>
  <c r="C10" i="1" s="1"/>
  <c r="M25" i="3"/>
  <c r="N25" i="1" s="1"/>
  <c r="K24" i="3"/>
  <c r="G24" i="1" s="1"/>
  <c r="K14" i="3"/>
  <c r="G14" i="1" s="1"/>
  <c r="H19" i="3"/>
  <c r="F19" i="1" s="1"/>
  <c r="H12" i="3"/>
  <c r="F12" i="1" s="1"/>
  <c r="J33" i="4"/>
  <c r="H33" i="1" s="1"/>
  <c r="L33" i="4"/>
  <c r="I33" i="1" s="1"/>
  <c r="J24" i="4"/>
  <c r="H24" i="1" s="1"/>
  <c r="L30" i="4"/>
  <c r="I30" i="1" s="1"/>
  <c r="K10" i="3"/>
  <c r="G10" i="1" s="1"/>
  <c r="C18" i="4"/>
  <c r="E18" i="4" s="1"/>
  <c r="H17" i="4"/>
  <c r="I17" i="4" s="1"/>
  <c r="X17" i="1" s="1"/>
  <c r="C7" i="4"/>
  <c r="E7" i="4" s="1"/>
  <c r="G7" i="4" s="1"/>
  <c r="B7" i="1" s="1"/>
  <c r="H6" i="4"/>
  <c r="I6" i="4" s="1"/>
  <c r="X6" i="1" s="1"/>
  <c r="C19" i="4"/>
  <c r="E19" i="4" s="1"/>
  <c r="H18" i="4"/>
  <c r="I18" i="4" s="1"/>
  <c r="X18" i="1" s="1"/>
  <c r="C10" i="4"/>
  <c r="E10" i="4" s="1"/>
  <c r="H9" i="4"/>
  <c r="I9" i="4" s="1"/>
  <c r="X9" i="1" s="1"/>
  <c r="C24" i="4"/>
  <c r="E24" i="4" s="1"/>
  <c r="H23" i="4"/>
  <c r="I23" i="4" s="1"/>
  <c r="X23" i="1" s="1"/>
  <c r="C17" i="4"/>
  <c r="E17" i="4" s="1"/>
  <c r="H16" i="4"/>
  <c r="I16" i="4" s="1"/>
  <c r="X16" i="1" s="1"/>
  <c r="C21" i="4"/>
  <c r="E21" i="4" s="1"/>
  <c r="G21" i="4" s="1"/>
  <c r="B21" i="1" s="1"/>
  <c r="H20" i="4"/>
  <c r="I20" i="4" s="1"/>
  <c r="X20" i="1" s="1"/>
  <c r="C26" i="4"/>
  <c r="E26" i="4" s="1"/>
  <c r="G26" i="4" s="1"/>
  <c r="B26" i="1" s="1"/>
  <c r="H25" i="4"/>
  <c r="I25" i="4" s="1"/>
  <c r="X25" i="1" s="1"/>
  <c r="C15" i="4"/>
  <c r="E15" i="4" s="1"/>
  <c r="H14" i="4"/>
  <c r="I14" i="4" s="1"/>
  <c r="X14" i="1" s="1"/>
  <c r="C4" i="4"/>
  <c r="E4" i="4" s="1"/>
  <c r="G4" i="4" s="1"/>
  <c r="H3" i="4"/>
  <c r="I3" i="4" s="1"/>
  <c r="X3" i="1" s="1"/>
  <c r="C16" i="4"/>
  <c r="E16" i="4" s="1"/>
  <c r="H15" i="4"/>
  <c r="I15" i="4" s="1"/>
  <c r="X15" i="1" s="1"/>
  <c r="C28" i="4"/>
  <c r="E28" i="4" s="1"/>
  <c r="G28" i="4" s="1"/>
  <c r="B28" i="1" s="1"/>
  <c r="H27" i="4"/>
  <c r="I27" i="4" s="1"/>
  <c r="X27" i="1" s="1"/>
  <c r="O33" i="4"/>
  <c r="O33" i="1" s="1"/>
  <c r="H8" i="3"/>
  <c r="F8" i="1" s="1"/>
  <c r="H5" i="5"/>
  <c r="H18" i="5"/>
  <c r="H31" i="5"/>
  <c r="H20" i="5"/>
  <c r="H33" i="5"/>
  <c r="H10" i="5"/>
  <c r="H23" i="5"/>
  <c r="H24" i="5"/>
  <c r="H13" i="5"/>
  <c r="H14" i="5"/>
  <c r="H26" i="5"/>
  <c r="H30" i="5"/>
  <c r="H7" i="5"/>
  <c r="H32" i="5"/>
  <c r="H9" i="5"/>
  <c r="H22" i="5"/>
  <c r="H11" i="5"/>
  <c r="H12" i="5"/>
  <c r="H15" i="5"/>
  <c r="H6" i="5"/>
  <c r="H19" i="5"/>
  <c r="H8" i="5"/>
  <c r="H21" i="5"/>
  <c r="H25" i="5"/>
  <c r="H4" i="5"/>
  <c r="H28" i="5"/>
  <c r="K4" i="3"/>
  <c r="G4" i="1" s="1"/>
  <c r="B33" i="3"/>
  <c r="D33" i="1" s="1"/>
  <c r="G21" i="3"/>
  <c r="L21" i="1" s="1"/>
  <c r="D13" i="5"/>
  <c r="C13" i="1" s="1"/>
  <c r="D25" i="5"/>
  <c r="C25" i="1" s="1"/>
  <c r="K33" i="3"/>
  <c r="G33" i="1" s="1"/>
  <c r="H33" i="3"/>
  <c r="F33" i="1" s="1"/>
  <c r="B10" i="3"/>
  <c r="D10" i="1" s="1"/>
  <c r="J22" i="3"/>
  <c r="M22" i="1" s="1"/>
  <c r="E3" i="5"/>
  <c r="J3" i="5" s="1"/>
  <c r="C33" i="4"/>
  <c r="E33" i="4" s="1"/>
  <c r="G33" i="4" s="1"/>
  <c r="B33" i="1" s="1"/>
  <c r="E6" i="3"/>
  <c r="E6" i="1" s="1"/>
  <c r="E18" i="3"/>
  <c r="E18" i="1" s="1"/>
  <c r="J17" i="4"/>
  <c r="H17" i="1" s="1"/>
  <c r="J29" i="4"/>
  <c r="H29" i="1" s="1"/>
  <c r="D33" i="3"/>
  <c r="K33" i="1" s="1"/>
  <c r="E31" i="3"/>
  <c r="E31" i="1" s="1"/>
  <c r="H16" i="3"/>
  <c r="F16" i="1" s="1"/>
  <c r="E17" i="3"/>
  <c r="E17" i="1" s="1"/>
  <c r="E8" i="3"/>
  <c r="E8" i="1" s="1"/>
  <c r="E32" i="3"/>
  <c r="E32" i="1" s="1"/>
  <c r="D21" i="5"/>
  <c r="C21" i="1" s="1"/>
  <c r="Q33" i="4"/>
  <c r="P33" i="1" s="1"/>
  <c r="J33" i="3"/>
  <c r="M33" i="1" s="1"/>
  <c r="D8" i="5"/>
  <c r="C8" i="1" s="1"/>
  <c r="D22" i="5"/>
  <c r="C22" i="1" s="1"/>
  <c r="D14" i="5"/>
  <c r="C14" i="1" s="1"/>
  <c r="D26" i="5"/>
  <c r="C26" i="1" s="1"/>
  <c r="L16" i="4"/>
  <c r="I16" i="1" s="1"/>
  <c r="L28" i="4"/>
  <c r="I28" i="1" s="1"/>
  <c r="Q28" i="4"/>
  <c r="P28" i="1" s="1"/>
  <c r="C12" i="4"/>
  <c r="E12" i="4" s="1"/>
  <c r="B13" i="3"/>
  <c r="D13" i="1" s="1"/>
  <c r="E29" i="3"/>
  <c r="E29" i="1" s="1"/>
  <c r="K16" i="3"/>
  <c r="G16" i="1" s="1"/>
  <c r="K28" i="3"/>
  <c r="G28" i="1" s="1"/>
  <c r="B24" i="3"/>
  <c r="D24" i="1" s="1"/>
  <c r="B11" i="3"/>
  <c r="D11" i="1" s="1"/>
  <c r="B23" i="3"/>
  <c r="D23" i="1" s="1"/>
  <c r="D11" i="3"/>
  <c r="K11" i="1" s="1"/>
  <c r="M23" i="3"/>
  <c r="N23" i="1" s="1"/>
  <c r="H29" i="3"/>
  <c r="F29" i="1" s="1"/>
  <c r="E9" i="3"/>
  <c r="E9" i="1" s="1"/>
  <c r="H30" i="3"/>
  <c r="F30" i="1" s="1"/>
  <c r="B27" i="3"/>
  <c r="D27" i="1" s="1"/>
  <c r="H21" i="3"/>
  <c r="F21" i="1" s="1"/>
  <c r="K26" i="3"/>
  <c r="G26" i="1" s="1"/>
  <c r="J7" i="4"/>
  <c r="H7" i="1" s="1"/>
  <c r="J31" i="4"/>
  <c r="H31" i="1" s="1"/>
  <c r="L12" i="4"/>
  <c r="I12" i="1" s="1"/>
  <c r="L27" i="4"/>
  <c r="I27" i="1" s="1"/>
  <c r="J15" i="4"/>
  <c r="H15" i="1" s="1"/>
  <c r="J27" i="4"/>
  <c r="H27" i="1" s="1"/>
  <c r="J23" i="4"/>
  <c r="H23" i="1" s="1"/>
  <c r="O23" i="4"/>
  <c r="O23" i="1" s="1"/>
  <c r="O26" i="4"/>
  <c r="O26" i="1" s="1"/>
  <c r="O17" i="4"/>
  <c r="O17" i="1" s="1"/>
  <c r="C31" i="4"/>
  <c r="E31" i="4" s="1"/>
  <c r="J12" i="4"/>
  <c r="H12" i="1" s="1"/>
  <c r="L5" i="4"/>
  <c r="I5" i="1" s="1"/>
  <c r="J14" i="4"/>
  <c r="H14" i="1" s="1"/>
  <c r="J28" i="4"/>
  <c r="H28" i="1" s="1"/>
  <c r="E19" i="3"/>
  <c r="E19" i="1" s="1"/>
  <c r="M15" i="3"/>
  <c r="N15" i="1" s="1"/>
  <c r="C5" i="4"/>
  <c r="E5" i="4" s="1"/>
  <c r="G5" i="4" s="1"/>
  <c r="B5" i="1" s="1"/>
  <c r="B26" i="3"/>
  <c r="D26" i="1" s="1"/>
  <c r="E30" i="3"/>
  <c r="E30" i="1" s="1"/>
  <c r="H9" i="3"/>
  <c r="F9" i="1" s="1"/>
  <c r="L7" i="4"/>
  <c r="I7" i="1" s="1"/>
  <c r="L19" i="4"/>
  <c r="I19" i="1" s="1"/>
  <c r="J25" i="4"/>
  <c r="H25" i="1" s="1"/>
  <c r="B15" i="3"/>
  <c r="D15" i="1" s="1"/>
  <c r="D11" i="5"/>
  <c r="C11" i="1" s="1"/>
  <c r="D23" i="5"/>
  <c r="C23" i="1" s="1"/>
  <c r="E26" i="3"/>
  <c r="E26" i="1" s="1"/>
  <c r="D23" i="3"/>
  <c r="K23" i="1" s="1"/>
  <c r="K12" i="3"/>
  <c r="G12" i="1" s="1"/>
  <c r="M27" i="3"/>
  <c r="N27" i="1" s="1"/>
  <c r="E7" i="3"/>
  <c r="E7" i="1" s="1"/>
  <c r="J18" i="3"/>
  <c r="M18" i="1" s="1"/>
  <c r="J4" i="4"/>
  <c r="H22" i="3"/>
  <c r="F22" i="1" s="1"/>
  <c r="K15" i="3"/>
  <c r="G15" i="1" s="1"/>
  <c r="K27" i="3"/>
  <c r="G27" i="1" s="1"/>
  <c r="J16" i="4"/>
  <c r="H16" i="1" s="1"/>
  <c r="H31" i="3"/>
  <c r="F31" i="1" s="1"/>
  <c r="D15" i="5"/>
  <c r="C15" i="1" s="1"/>
  <c r="D27" i="5"/>
  <c r="C27" i="1" s="1"/>
  <c r="K29" i="3"/>
  <c r="G29" i="1" s="1"/>
  <c r="G26" i="3"/>
  <c r="L26" i="1" s="1"/>
  <c r="O28" i="4"/>
  <c r="O28" i="1" s="1"/>
  <c r="D28" i="5"/>
  <c r="C28" i="1" s="1"/>
  <c r="Q5" i="4"/>
  <c r="P5" i="1" s="1"/>
  <c r="J9" i="3"/>
  <c r="M9" i="1" s="1"/>
  <c r="D5" i="5"/>
  <c r="C5" i="1" s="1"/>
  <c r="D17" i="5"/>
  <c r="C17" i="1" s="1"/>
  <c r="D29" i="5"/>
  <c r="C29" i="1" s="1"/>
  <c r="B22" i="3"/>
  <c r="D22" i="1" s="1"/>
  <c r="B12" i="3"/>
  <c r="D12" i="1" s="1"/>
  <c r="E20" i="3"/>
  <c r="E20" i="1" s="1"/>
  <c r="D22" i="3"/>
  <c r="K22" i="1" s="1"/>
  <c r="D7" i="5"/>
  <c r="C7" i="1" s="1"/>
  <c r="D19" i="5"/>
  <c r="C19" i="1" s="1"/>
  <c r="D31" i="5"/>
  <c r="C31" i="1" s="1"/>
  <c r="K23" i="3"/>
  <c r="G23" i="1" s="1"/>
  <c r="G30" i="3"/>
  <c r="L30" i="1" s="1"/>
  <c r="D4" i="5"/>
  <c r="C4" i="1" s="1"/>
  <c r="D16" i="5"/>
  <c r="C16" i="1" s="1"/>
  <c r="E28" i="3"/>
  <c r="E28" i="1" s="1"/>
  <c r="C29" i="4"/>
  <c r="E29" i="4" s="1"/>
  <c r="G7" i="3"/>
  <c r="L7" i="1" s="1"/>
  <c r="K13" i="3"/>
  <c r="G13" i="1" s="1"/>
  <c r="L22" i="4"/>
  <c r="I22" i="1" s="1"/>
  <c r="M21" i="3"/>
  <c r="N21" i="1" s="1"/>
  <c r="J22" i="4"/>
  <c r="H22" i="1" s="1"/>
  <c r="D9" i="5"/>
  <c r="C9" i="1" s="1"/>
  <c r="H28" i="3"/>
  <c r="F28" i="1" s="1"/>
  <c r="H7" i="3"/>
  <c r="F7" i="1" s="1"/>
  <c r="H18" i="3"/>
  <c r="F18" i="1" s="1"/>
  <c r="O14" i="4"/>
  <c r="O14" i="1" s="1"/>
  <c r="C9" i="4"/>
  <c r="E9" i="4" s="1"/>
  <c r="J26" i="4"/>
  <c r="H26" i="1" s="1"/>
  <c r="Q19" i="4"/>
  <c r="P19" i="1" s="1"/>
  <c r="O15" i="4"/>
  <c r="O15" i="1" s="1"/>
  <c r="Q7" i="4"/>
  <c r="P7" i="1" s="1"/>
  <c r="C8" i="4"/>
  <c r="E8" i="4" s="1"/>
  <c r="G8" i="4" s="1"/>
  <c r="B8" i="1" s="1"/>
  <c r="L17" i="4"/>
  <c r="I17" i="1" s="1"/>
  <c r="C14" i="4"/>
  <c r="E14" i="4" s="1"/>
  <c r="Q29" i="4"/>
  <c r="P29" i="1" s="1"/>
  <c r="L15" i="4"/>
  <c r="I15" i="1" s="1"/>
  <c r="J10" i="4"/>
  <c r="H10" i="1" s="1"/>
  <c r="L4" i="4"/>
  <c r="L20" i="4"/>
  <c r="I20" i="1" s="1"/>
  <c r="L29" i="4"/>
  <c r="I29" i="1" s="1"/>
  <c r="L6" i="4"/>
  <c r="I6" i="1" s="1"/>
  <c r="L18" i="4"/>
  <c r="I18" i="1" s="1"/>
  <c r="D24" i="5"/>
  <c r="C24" i="1" s="1"/>
  <c r="D12" i="5"/>
  <c r="C12" i="1" s="1"/>
  <c r="I10" i="5"/>
  <c r="I22" i="5"/>
  <c r="D30" i="5"/>
  <c r="C30" i="1" s="1"/>
  <c r="D18" i="5"/>
  <c r="C18" i="1" s="1"/>
  <c r="D6" i="5"/>
  <c r="C6" i="1" s="1"/>
  <c r="I26" i="5"/>
  <c r="I27" i="5"/>
  <c r="I6" i="5"/>
  <c r="I9" i="5"/>
  <c r="I21" i="5"/>
  <c r="I33" i="5"/>
  <c r="I25" i="5"/>
  <c r="I14" i="5"/>
  <c r="I15" i="5"/>
  <c r="I11" i="5"/>
  <c r="I23" i="5"/>
  <c r="I28" i="5"/>
  <c r="I24" i="5"/>
  <c r="I12" i="5"/>
  <c r="I18" i="5"/>
  <c r="I30" i="5"/>
  <c r="I7" i="5"/>
  <c r="I19" i="5"/>
  <c r="I31" i="5"/>
  <c r="K11" i="3"/>
  <c r="G11" i="1" s="1"/>
  <c r="B4" i="3"/>
  <c r="D4" i="1" s="1"/>
  <c r="J13" i="4"/>
  <c r="H13" i="1" s="1"/>
  <c r="E12" i="5"/>
  <c r="I13" i="5"/>
  <c r="E4" i="3"/>
  <c r="E4" i="1" s="1"/>
  <c r="E5" i="3"/>
  <c r="E5" i="1" s="1"/>
  <c r="I4" i="5"/>
  <c r="J11" i="4"/>
  <c r="H11" i="1" s="1"/>
  <c r="O12" i="4"/>
  <c r="O12" i="1" s="1"/>
  <c r="J6" i="3"/>
  <c r="M6" i="1" s="1"/>
  <c r="J7" i="3"/>
  <c r="M7" i="1" s="1"/>
  <c r="O6" i="4"/>
  <c r="O6" i="1" s="1"/>
  <c r="D29" i="3"/>
  <c r="K29" i="1" s="1"/>
  <c r="B30" i="3"/>
  <c r="D30" i="1" s="1"/>
  <c r="B18" i="3"/>
  <c r="D18" i="1" s="1"/>
  <c r="D17" i="3"/>
  <c r="K17" i="1" s="1"/>
  <c r="B6" i="3"/>
  <c r="D6" i="1" s="1"/>
  <c r="D5" i="3"/>
  <c r="K5" i="1" s="1"/>
  <c r="E13" i="3"/>
  <c r="E13" i="1" s="1"/>
  <c r="G12" i="3"/>
  <c r="L12" i="1" s="1"/>
  <c r="E25" i="3"/>
  <c r="E25" i="1" s="1"/>
  <c r="G24" i="3"/>
  <c r="L24" i="1" s="1"/>
  <c r="B5" i="3"/>
  <c r="D5" i="1" s="1"/>
  <c r="J19" i="4"/>
  <c r="H19" i="1" s="1"/>
  <c r="O18" i="4"/>
  <c r="O18" i="1" s="1"/>
  <c r="L23" i="4"/>
  <c r="I23" i="1" s="1"/>
  <c r="L24" i="4"/>
  <c r="I24" i="1" s="1"/>
  <c r="O30" i="4"/>
  <c r="O30" i="1" s="1"/>
  <c r="H14" i="3"/>
  <c r="F14" i="1" s="1"/>
  <c r="J13" i="3"/>
  <c r="M13" i="1" s="1"/>
  <c r="H13" i="3"/>
  <c r="F13" i="1" s="1"/>
  <c r="J25" i="3"/>
  <c r="M25" i="1" s="1"/>
  <c r="H26" i="3"/>
  <c r="F26" i="1" s="1"/>
  <c r="K7" i="3"/>
  <c r="G7" i="1" s="1"/>
  <c r="M6" i="3"/>
  <c r="N6" i="1" s="1"/>
  <c r="K6" i="3"/>
  <c r="G6" i="1" s="1"/>
  <c r="M18" i="3"/>
  <c r="N18" i="1" s="1"/>
  <c r="K19" i="3"/>
  <c r="G19" i="1" s="1"/>
  <c r="K31" i="3"/>
  <c r="G31" i="1" s="1"/>
  <c r="K30" i="3"/>
  <c r="G30" i="1" s="1"/>
  <c r="M30" i="3"/>
  <c r="N30" i="1" s="1"/>
  <c r="C11" i="4"/>
  <c r="E11" i="4" s="1"/>
  <c r="G11" i="4" s="1"/>
  <c r="B11" i="1" s="1"/>
  <c r="C23" i="4"/>
  <c r="E23" i="4" s="1"/>
  <c r="B32" i="3"/>
  <c r="D32" i="1" s="1"/>
  <c r="D31" i="3"/>
  <c r="K31" i="1" s="1"/>
  <c r="D19" i="3"/>
  <c r="K19" i="1" s="1"/>
  <c r="B20" i="3"/>
  <c r="D20" i="1" s="1"/>
  <c r="D7" i="3"/>
  <c r="K7" i="1" s="1"/>
  <c r="B8" i="3"/>
  <c r="D8" i="1" s="1"/>
  <c r="E11" i="3"/>
  <c r="E11" i="1" s="1"/>
  <c r="G10" i="3"/>
  <c r="L10" i="1" s="1"/>
  <c r="E10" i="3"/>
  <c r="E10" i="1" s="1"/>
  <c r="E23" i="3"/>
  <c r="E23" i="1" s="1"/>
  <c r="G22" i="3"/>
  <c r="L22" i="1" s="1"/>
  <c r="E22" i="3"/>
  <c r="E22" i="1" s="1"/>
  <c r="H4" i="3"/>
  <c r="F4" i="1" s="1"/>
  <c r="J3" i="3"/>
  <c r="M3" i="1" s="1"/>
  <c r="H15" i="3"/>
  <c r="F15" i="1" s="1"/>
  <c r="J14" i="3"/>
  <c r="M14" i="1" s="1"/>
  <c r="J26" i="3"/>
  <c r="M26" i="1" s="1"/>
  <c r="H27" i="3"/>
  <c r="F27" i="1" s="1"/>
  <c r="M7" i="3"/>
  <c r="N7" i="1" s="1"/>
  <c r="K8" i="3"/>
  <c r="G8" i="1" s="1"/>
  <c r="M19" i="3"/>
  <c r="N19" i="1" s="1"/>
  <c r="K20" i="3"/>
  <c r="G20" i="1" s="1"/>
  <c r="K32" i="3"/>
  <c r="G32" i="1" s="1"/>
  <c r="M31" i="3"/>
  <c r="N31" i="1" s="1"/>
  <c r="O8" i="4"/>
  <c r="O8" i="1" s="1"/>
  <c r="J9" i="4"/>
  <c r="H9" i="1" s="1"/>
  <c r="J8" i="4"/>
  <c r="H8" i="1" s="1"/>
  <c r="O20" i="4"/>
  <c r="O20" i="1" s="1"/>
  <c r="J20" i="4"/>
  <c r="H20" i="1" s="1"/>
  <c r="J21" i="4"/>
  <c r="H21" i="1" s="1"/>
  <c r="O32" i="4"/>
  <c r="O32" i="1" s="1"/>
  <c r="J32" i="4"/>
  <c r="H32" i="1" s="1"/>
  <c r="Q13" i="4"/>
  <c r="P13" i="1" s="1"/>
  <c r="L13" i="4"/>
  <c r="I13" i="1" s="1"/>
  <c r="L14" i="4"/>
  <c r="I14" i="1" s="1"/>
  <c r="L26" i="4"/>
  <c r="I26" i="1" s="1"/>
  <c r="Q25" i="4"/>
  <c r="P25" i="1" s="1"/>
  <c r="D30" i="3"/>
  <c r="K30" i="1" s="1"/>
  <c r="B31" i="3"/>
  <c r="D31" i="1" s="1"/>
  <c r="D18" i="3"/>
  <c r="K18" i="1" s="1"/>
  <c r="B19" i="3"/>
  <c r="D19" i="1" s="1"/>
  <c r="B7" i="3"/>
  <c r="D7" i="1" s="1"/>
  <c r="E12" i="3"/>
  <c r="E12" i="1" s="1"/>
  <c r="G23" i="3"/>
  <c r="L23" i="1" s="1"/>
  <c r="E24" i="3"/>
  <c r="E24" i="1" s="1"/>
  <c r="J4" i="3"/>
  <c r="M4" i="1" s="1"/>
  <c r="H5" i="3"/>
  <c r="F5" i="1" s="1"/>
  <c r="C13" i="4"/>
  <c r="E13" i="4" s="1"/>
  <c r="G13" i="4" s="1"/>
  <c r="C25" i="4"/>
  <c r="E25" i="4" s="1"/>
  <c r="D28" i="3"/>
  <c r="K28" i="1" s="1"/>
  <c r="B28" i="3"/>
  <c r="D28" i="1" s="1"/>
  <c r="B16" i="3"/>
  <c r="D16" i="1" s="1"/>
  <c r="B17" i="3"/>
  <c r="D17" i="1" s="1"/>
  <c r="J16" i="3"/>
  <c r="M16" i="1" s="1"/>
  <c r="H17" i="3"/>
  <c r="F17" i="1" s="1"/>
  <c r="M9" i="3"/>
  <c r="N9" i="1" s="1"/>
  <c r="D3" i="3"/>
  <c r="K3" i="1" s="1"/>
  <c r="L32" i="4"/>
  <c r="I32" i="1" s="1"/>
  <c r="L31" i="4"/>
  <c r="I31" i="1" s="1"/>
  <c r="O13" i="4"/>
  <c r="O13" i="1" s="1"/>
  <c r="J10" i="3"/>
  <c r="M10" i="1" s="1"/>
  <c r="H10" i="3"/>
  <c r="F10" i="1" s="1"/>
  <c r="C20" i="4"/>
  <c r="E20" i="4" s="1"/>
  <c r="Q8" i="4"/>
  <c r="P8" i="1" s="1"/>
  <c r="L8" i="4"/>
  <c r="I8" i="1" s="1"/>
  <c r="K22" i="3"/>
  <c r="G22" i="1" s="1"/>
  <c r="E15" i="3"/>
  <c r="E15" i="1" s="1"/>
  <c r="G14" i="3"/>
  <c r="L14" i="1" s="1"/>
  <c r="D4" i="3"/>
  <c r="K4" i="1" s="1"/>
  <c r="C30" i="4"/>
  <c r="E30" i="4" s="1"/>
  <c r="G30" i="4" s="1"/>
  <c r="B30" i="1" s="1"/>
  <c r="Q31" i="4"/>
  <c r="P31" i="1" s="1"/>
  <c r="C32" i="4"/>
  <c r="E32" i="4" s="1"/>
  <c r="G32" i="4" s="1"/>
  <c r="B32" i="1" s="1"/>
  <c r="K9" i="3"/>
  <c r="G9" i="1" s="1"/>
  <c r="C6" i="4"/>
  <c r="E6" i="4" s="1"/>
  <c r="J21" i="3"/>
  <c r="M21" i="1" s="1"/>
  <c r="H6" i="3"/>
  <c r="F6" i="1" s="1"/>
  <c r="H24" i="3"/>
  <c r="F24" i="1" s="1"/>
  <c r="M4" i="3"/>
  <c r="N4" i="1" s="1"/>
  <c r="K5" i="3"/>
  <c r="G5" i="1" s="1"/>
  <c r="K17" i="3"/>
  <c r="G17" i="1" s="1"/>
  <c r="M16" i="3"/>
  <c r="N16" i="1" s="1"/>
  <c r="J5" i="4"/>
  <c r="H5" i="1" s="1"/>
  <c r="Q9" i="4"/>
  <c r="P9" i="1" s="1"/>
  <c r="L9" i="4"/>
  <c r="I9" i="1" s="1"/>
  <c r="Q21" i="4"/>
  <c r="P21" i="1" s="1"/>
  <c r="L21" i="4"/>
  <c r="I21" i="1" s="1"/>
  <c r="I16" i="5"/>
  <c r="E14" i="3"/>
  <c r="E14" i="1" s="1"/>
  <c r="B29" i="3"/>
  <c r="D29" i="1" s="1"/>
  <c r="B21" i="3"/>
  <c r="D21" i="1" s="1"/>
  <c r="D20" i="3"/>
  <c r="K20" i="1" s="1"/>
  <c r="B9" i="3"/>
  <c r="D9" i="1" s="1"/>
  <c r="H25" i="3"/>
  <c r="F25" i="1" s="1"/>
  <c r="K18" i="3"/>
  <c r="G18" i="1" s="1"/>
  <c r="M17" i="3"/>
  <c r="N17" i="1" s="1"/>
  <c r="C22" i="4"/>
  <c r="E22" i="4" s="1"/>
  <c r="J6" i="4"/>
  <c r="H6" i="1" s="1"/>
  <c r="O5" i="4"/>
  <c r="O5" i="1" s="1"/>
  <c r="J18" i="4"/>
  <c r="H18" i="1" s="1"/>
  <c r="J30" i="4"/>
  <c r="H30" i="1" s="1"/>
  <c r="O29" i="4"/>
  <c r="O29" i="1" s="1"/>
  <c r="Q10" i="4"/>
  <c r="P10" i="1" s="1"/>
  <c r="L10" i="4"/>
  <c r="I10" i="1" s="1"/>
  <c r="I8" i="5"/>
  <c r="I20" i="5"/>
  <c r="I32" i="5"/>
  <c r="B14" i="3"/>
  <c r="D14" i="1" s="1"/>
  <c r="E18" i="5"/>
  <c r="E31" i="5"/>
  <c r="O21" i="4"/>
  <c r="O21" i="1" s="1"/>
  <c r="E20" i="5"/>
  <c r="E32" i="5"/>
  <c r="C36" i="4"/>
  <c r="L11" i="4"/>
  <c r="I11" i="1" s="1"/>
  <c r="L25" i="4"/>
  <c r="I25" i="1" s="1"/>
  <c r="Q11" i="4"/>
  <c r="P11" i="1" s="1"/>
  <c r="E13" i="5"/>
  <c r="Q23" i="4"/>
  <c r="P23" i="1" s="1"/>
  <c r="E4" i="5"/>
  <c r="E7" i="5"/>
  <c r="E33" i="5"/>
  <c r="E15" i="5"/>
  <c r="E28" i="5"/>
  <c r="E24" i="5"/>
  <c r="E9" i="5"/>
  <c r="E23" i="5"/>
  <c r="E11" i="5"/>
  <c r="E22" i="5"/>
  <c r="E29" i="5"/>
  <c r="E19" i="5"/>
  <c r="E16" i="5"/>
  <c r="E27" i="5"/>
  <c r="E5" i="5"/>
  <c r="E25" i="5"/>
  <c r="E17" i="5"/>
  <c r="E30" i="5"/>
  <c r="E21" i="5"/>
  <c r="E10" i="5"/>
  <c r="J10" i="5" s="1"/>
  <c r="E6" i="5"/>
  <c r="E26" i="5"/>
  <c r="E8" i="5"/>
  <c r="I4" i="1" l="1"/>
  <c r="L37" i="4"/>
  <c r="B4" i="1"/>
  <c r="H4" i="1"/>
  <c r="J37" i="4"/>
  <c r="B13" i="1"/>
  <c r="J33" i="5"/>
  <c r="J14" i="5"/>
  <c r="J32" i="5"/>
  <c r="J20" i="5"/>
  <c r="G23" i="4"/>
  <c r="B23" i="1" s="1"/>
  <c r="G14" i="4"/>
  <c r="B14" i="1" s="1"/>
  <c r="G20" i="4"/>
  <c r="B20" i="1" s="1"/>
  <c r="G9" i="4"/>
  <c r="B9" i="1" s="1"/>
  <c r="J25" i="5"/>
  <c r="J24" i="5"/>
  <c r="J13" i="5"/>
  <c r="J22" i="5"/>
  <c r="G17" i="4"/>
  <c r="B17" i="1" s="1"/>
  <c r="J21" i="5"/>
  <c r="J5" i="5"/>
  <c r="J31" i="5"/>
  <c r="G3" i="4"/>
  <c r="J19" i="5"/>
  <c r="G18" i="4"/>
  <c r="B18" i="1" s="1"/>
  <c r="J26" i="5"/>
  <c r="G27" i="4"/>
  <c r="B27" i="1" s="1"/>
  <c r="G29" i="4"/>
  <c r="B29" i="1" s="1"/>
  <c r="J12" i="5"/>
  <c r="G31" i="4"/>
  <c r="B31" i="1" s="1"/>
  <c r="J11" i="5"/>
  <c r="J4" i="5"/>
  <c r="J23" i="5"/>
  <c r="J17" i="5"/>
  <c r="J9" i="5"/>
  <c r="J18" i="5"/>
  <c r="J6" i="5"/>
  <c r="J8" i="5"/>
  <c r="J16" i="5"/>
  <c r="J15" i="5"/>
  <c r="J29" i="5"/>
  <c r="G6" i="4"/>
  <c r="B6" i="1" s="1"/>
  <c r="G15" i="4"/>
  <c r="B15" i="1" s="1"/>
  <c r="J30" i="5"/>
  <c r="G16" i="4"/>
  <c r="B16" i="1" s="1"/>
  <c r="J27" i="5"/>
  <c r="J28" i="5"/>
  <c r="J7" i="5"/>
  <c r="G22" i="4"/>
  <c r="B22" i="1" s="1"/>
  <c r="G19" i="4"/>
  <c r="B19" i="1" s="1"/>
  <c r="G12" i="4"/>
  <c r="B12" i="1" s="1"/>
  <c r="G10" i="4"/>
  <c r="B10" i="1" s="1"/>
  <c r="G24" i="4"/>
  <c r="B24" i="1" s="1"/>
  <c r="G25" i="4"/>
  <c r="B25" i="1" s="1"/>
  <c r="C37" i="4" l="1"/>
  <c r="G37" i="4"/>
  <c r="B3" i="1"/>
  <c r="S3" i="4"/>
  <c r="B38" i="1"/>
</calcChain>
</file>

<file path=xl/sharedStrings.xml><?xml version="1.0" encoding="utf-8"?>
<sst xmlns="http://schemas.openxmlformats.org/spreadsheetml/2006/main" count="124" uniqueCount="77">
  <si>
    <t>Date</t>
  </si>
  <si>
    <t>Nepa Consumption (K.W.H)</t>
  </si>
  <si>
    <t>Milling DG Run Hours</t>
  </si>
  <si>
    <t>Parboiling DG Run Hours</t>
  </si>
  <si>
    <t>Comp E75 -2
Run Hours</t>
  </si>
  <si>
    <t>Comp E75 -1
Run Hours</t>
  </si>
  <si>
    <t>Admin DG Run Hours</t>
  </si>
  <si>
    <t>Comp E55 Run Hours</t>
  </si>
  <si>
    <t>Comp E75 -1
Rem Hours To Service</t>
  </si>
  <si>
    <t>Comp E75 -2
Rem Hours To Service</t>
  </si>
  <si>
    <t>Milling DG Rem Hours To Service</t>
  </si>
  <si>
    <t>Parboiling DG Rem Hours 
To Service</t>
  </si>
  <si>
    <t>Comp E55 Rem Hours To Service</t>
  </si>
  <si>
    <t>Comp E75 -1
Run Hr</t>
  </si>
  <si>
    <t>Comp E75 -2
Run Hr</t>
  </si>
  <si>
    <t>Comp E55 Run Hr</t>
  </si>
  <si>
    <t>Comp E75 -1
Next Ser
Hours</t>
  </si>
  <si>
    <t>Comp E75 -2
Next Ser
Hours</t>
  </si>
  <si>
    <t>Comp E55
Next Ser
Hours</t>
  </si>
  <si>
    <t xml:space="preserve">TIME </t>
  </si>
  <si>
    <t>Dip Stick Reading O/P Stock</t>
  </si>
  <si>
    <t>Dip Stick Reading C/L Stock</t>
  </si>
  <si>
    <t>DG Milling Run Hours</t>
  </si>
  <si>
    <t>DG Parboiling 
Run Hours</t>
  </si>
  <si>
    <t>Dip / 
mm</t>
  </si>
  <si>
    <t>Volume / 
Litters</t>
  </si>
  <si>
    <t>Summary</t>
  </si>
  <si>
    <t>Total received</t>
  </si>
  <si>
    <t>Total Cons</t>
  </si>
  <si>
    <t>NEPA FINAL</t>
  </si>
  <si>
    <t>NEPA Consumption (KWH)</t>
  </si>
  <si>
    <t>7:00AM</t>
  </si>
  <si>
    <t xml:space="preserve">                                            Date
   Equipments</t>
  </si>
  <si>
    <t>Diesel Dip reading (mm)</t>
  </si>
  <si>
    <t>Nepa meter reading (KWH)</t>
  </si>
  <si>
    <t>1-Comp E75 reading (Hours)</t>
  </si>
  <si>
    <t>2-Comp E75 reading (Hours)</t>
  </si>
  <si>
    <t>Milling DG reading (Hours)</t>
  </si>
  <si>
    <t>Parboiling DG reading (Hours)</t>
  </si>
  <si>
    <t>DG Parboiling 
Run Hr Meter</t>
  </si>
  <si>
    <t>DG Milling Run Hr Meter</t>
  </si>
  <si>
    <t>Hours Rem</t>
  </si>
  <si>
    <t>Days Rem</t>
  </si>
  <si>
    <t>Comp E75 -3
Run Hours</t>
  </si>
  <si>
    <t>Comp E75 -3
Run Hr</t>
  </si>
  <si>
    <t>Comp E75 -3
Rem Hours To Service</t>
  </si>
  <si>
    <t>3-Comp E75 reading (Hours)</t>
  </si>
  <si>
    <t>4-Comp E55 reading (Hours)</t>
  </si>
  <si>
    <t>Comp E75 -3
Next Ser
Hours</t>
  </si>
  <si>
    <t>Diesel RECEIVED</t>
  </si>
  <si>
    <t>NOTE: 23.05.2026 
Receive desiel                                          44 X 230 = 10120 ltrs
Befor Receive dip Reading                     1912      = 34452 ltrs
Calculation wise                                                     = 44572 ltrs    
After Receive dip Reading                      2592      = 45121 ltrs 
differance getting extra                                         =     549 ltrs</t>
  </si>
  <si>
    <t>Received (Liters)</t>
  </si>
  <si>
    <t>Diesel Consumption
(LTRS)</t>
  </si>
  <si>
    <t>MILLING</t>
  </si>
  <si>
    <t>UTILITY / PARBOILING</t>
  </si>
  <si>
    <t>MILLING + UTILITY / PARBOILING</t>
  </si>
  <si>
    <t>DIFFERENCE</t>
  </si>
  <si>
    <t>MILLING 
CONSUMPTION</t>
  </si>
  <si>
    <t>UTILITY / PARBOILING
CONSUMPTION</t>
  </si>
  <si>
    <t>MILLING (KWH)</t>
  </si>
  <si>
    <t>UTILITY / PARBOILING (KWH)</t>
  </si>
  <si>
    <t>DG Parboiling 
Run Hr Meter2</t>
  </si>
  <si>
    <t>DG Parboiling 
Run Hr Meter3</t>
  </si>
  <si>
    <t>DG Parboiling 
Run Hr Meter4</t>
  </si>
  <si>
    <t>DG Parboiling 
Run Hr Meter5</t>
  </si>
  <si>
    <t>DIESEL ISSUE</t>
  </si>
  <si>
    <t>Diesel ISSUED</t>
  </si>
  <si>
    <t>Milling DG Next Ser
Hours</t>
  </si>
  <si>
    <t>Parboiling DG Next Ser
Hours</t>
  </si>
  <si>
    <t>Main Tank
Opening Stock (Liters)</t>
  </si>
  <si>
    <t>Main Tank
Consumption (Liters)</t>
  </si>
  <si>
    <t>Main Tank
Closing Stock (Liters)</t>
  </si>
  <si>
    <t>Current Total stock
(Liters)</t>
  </si>
  <si>
    <t>Service tank 
(Liters)</t>
  </si>
  <si>
    <t>Service Tanks</t>
  </si>
  <si>
    <t>NOTE: 23.05.2026 
Receive desiel                                  44 X 230 = 10120 ltrs
Befor Receive dip Reading             1912      = 34452 ltrs
Calculation wise                                              = 44572 ltrs    
After Receive dip Reading              2592      = 45121 ltrs 
differance getting extra                                 =     549 ltrs</t>
  </si>
  <si>
    <t>total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</si>
</sst>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ck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" fontId="0" fillId="0" borderId="0" xfId="0" applyNumberFormat="1"/>
    <xf numFmtId="0" fontId="1" fillId="2" borderId="9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8" fontId="0" fillId="0" borderId="5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7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" fillId="0" borderId="11" xfId="0" applyFont="1" applyBorder="1" applyAlignment="1">
      <alignment vertical="center" wrapText="1"/>
    </xf>
    <xf numFmtId="14" fontId="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 wrapText="1"/>
    </xf>
    <xf numFmtId="1" fontId="2" fillId="0" borderId="5" xfId="0" applyNumberFormat="1" applyFont="1" applyBorder="1"/>
    <xf numFmtId="164" fontId="0" fillId="0" borderId="7" xfId="0" applyNumberFormat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3" borderId="15" xfId="0" applyNumberForma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8" fontId="0" fillId="0" borderId="7" xfId="0" applyNumberFormat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87"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\Dropbox\ZYN_ELECTRICAL\Reportings\MIS\Jun_2026%20(Punith's%20conflicted%20copy%202026-06-30).xlsx" TargetMode="External"/><Relationship Id="rId1" Type="http://schemas.openxmlformats.org/officeDocument/2006/relationships/externalLinkPath" Target="file:///C:\Users\abdul\Dropbox\ZYN_ELECTRICAL\Reportings\MIS\Jun_2026%20(Punith's%20conflicted%20copy%202026-06-30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\Dropbox\ZYN_ELECTRICAL\Reportings\MIS\Jun_2026.xlsx" TargetMode="External"/><Relationship Id="rId1" Type="http://schemas.openxmlformats.org/officeDocument/2006/relationships/externalLinkPath" Target="file:///C:\Users\abdul\Dropbox\ZYN_ELECTRICAL\Reportings\MIS\Jun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House Data"/>
      <sheetName val="Summary"/>
      <sheetName val="Compressor"/>
      <sheetName val="Diesel"/>
      <sheetName val="EB"/>
      <sheetName val="Flowmeter"/>
      <sheetName val="Jun_2026 (Punith's conflicted 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owerHouse Data"/>
      <sheetName val="Compressor"/>
      <sheetName val="Diesel"/>
      <sheetName val="EB"/>
      <sheetName val="Flowmeter"/>
    </sheetNames>
    <sheetDataSet>
      <sheetData sheetId="0"/>
      <sheetData sheetId="1">
        <row r="14">
          <cell r="AG14">
            <v>300343</v>
          </cell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BBFA2-2F77-42BF-9473-EA00078A9849}" name="Table11" displayName="Table11" ref="A1:X35" totalsRowShown="0" headerRowDxfId="86" headerRowBorderDxfId="85" tableBorderDxfId="84" totalsRowBorderDxfId="83">
  <tableColumns count="24">
    <tableColumn id="1" xr3:uid="{3B419577-373D-4E9B-865D-26BC24BCC615}" name="Date" dataDxfId="82"/>
    <tableColumn id="2" xr3:uid="{5575268A-18B4-4AE2-9F00-36D1511A2E6D}" name="Diesel Consumption_x000a_(LTRS)" dataDxfId="81">
      <calculatedColumnFormula>Table113456[[#This Row],[Main Tank
Consumption (Liters)]]</calculatedColumnFormula>
    </tableColumn>
    <tableColumn id="3" xr3:uid="{00AAC73E-FEE9-4099-90CC-AD25CF44EDE3}" name="Nepa Consumption (K.W.H)" dataDxfId="80">
      <calculatedColumnFormula>Table1135[[#This Row],[NEPA Consumption (KWH)]]</calculatedColumnFormula>
    </tableColumn>
    <tableColumn id="10" xr3:uid="{313A4B8D-183C-4F83-A86D-3CD48ADC1845}" name="Comp E75 -1_x000a_Run Hours" dataDxfId="79">
      <calculatedColumnFormula>Table113[[#This Row],[Comp E75 -1
Run Hours]]</calculatedColumnFormula>
    </tableColumn>
    <tableColumn id="6" xr3:uid="{FC904253-6127-4B62-B935-651E02B1293A}" name="Comp E75 -2_x000a_Run Hours" dataDxfId="78">
      <calculatedColumnFormula>Table113[[#This Row],[Comp E75 -2
Run Hours]]</calculatedColumnFormula>
    </tableColumn>
    <tableColumn id="15" xr3:uid="{12B9FD6D-172D-4CDB-BDB3-0A9E3BA16446}" name="Comp E75 -3_x000a_Run Hours" dataDxfId="77">
      <calculatedColumnFormula>Table113[[#This Row],[Comp E75 -3
Run Hours]]</calculatedColumnFormula>
    </tableColumn>
    <tableColumn id="12" xr3:uid="{A0F4AE96-9A17-42BA-9B5B-84D45CD84648}" name="Comp E55 Run Hours" dataDxfId="76">
      <calculatedColumnFormula>Table113[[#This Row],[Comp E55 Run Hours]]</calculatedColumnFormula>
    </tableColumn>
    <tableColumn id="4" xr3:uid="{F415F3B7-A57E-499C-8B46-6C9A7D82172D}" name="Milling DG Run Hours" dataDxfId="75">
      <calculatedColumnFormula>Table113456[[#This Row],[DG Milling Run Hours]]</calculatedColumnFormula>
    </tableColumn>
    <tableColumn id="5" xr3:uid="{68955937-3644-4050-9EDF-4E52B7CFD914}" name="Parboiling DG Run Hours" dataDxfId="74">
      <calculatedColumnFormula>Table113456[[#This Row],[DG Parboiling 
Run Hours]]</calculatedColumnFormula>
    </tableColumn>
    <tableColumn id="7" xr3:uid="{C4D043FF-C7EB-4BB0-8954-2A544A19C62E}" name="Admin DG Run Hours" dataDxfId="73"/>
    <tableColumn id="8" xr3:uid="{FEFAA4DB-594C-4D2D-8E6A-A610F11B7147}" name="Comp E75 -1_x000a_Rem Hours To Service" dataDxfId="72">
      <calculatedColumnFormula>Table113[[#This Row],[Comp E75 -1
Rem Hours To Service]]</calculatedColumnFormula>
    </tableColumn>
    <tableColumn id="9" xr3:uid="{1DE25C05-46D9-4B65-AE70-78DA35A8217F}" name="Comp E75 -2_x000a_Rem Hours To Service" dataDxfId="71">
      <calculatedColumnFormula>Table113[[#This Row],[Comp E75 -2
Rem Hours To Service]]</calculatedColumnFormula>
    </tableColumn>
    <tableColumn id="16" xr3:uid="{6F0D179B-4703-4BDC-82A3-B14CA4E4A6FB}" name="Comp E75 -3_x000a_Rem Hours To Service" dataDxfId="70">
      <calculatedColumnFormula>Table113[[#This Row],[Comp E75 -3
Rem Hours To Service]]</calculatedColumnFormula>
    </tableColumn>
    <tableColumn id="11" xr3:uid="{A2FF9DFF-8060-4CE8-AE11-84B96A017254}" name="Comp E55 Rem Hours To Service" dataDxfId="69">
      <calculatedColumnFormula>Table113[[#This Row],[Comp E55 Rem Hours To Service]]</calculatedColumnFormula>
    </tableColumn>
    <tableColumn id="13" xr3:uid="{92FAA2A0-6341-4E28-9D71-5BC42657B909}" name="Milling DG Rem Hours To Service" dataDxfId="68">
      <calculatedColumnFormula>Table113456[[#This Row],[DG Parboiling 
Run Hr Meter3]]</calculatedColumnFormula>
    </tableColumn>
    <tableColumn id="14" xr3:uid="{601CA706-7F81-44B1-92FE-7A67C20C29F5}" name="Parboiling DG Rem Hours _x000a_To Service" dataDxfId="67">
      <calculatedColumnFormula>Table113456[[#This Row],[DG Parboiling 
Run Hr Meter5]]</calculatedColumnFormula>
    </tableColumn>
    <tableColumn id="17" xr3:uid="{C795D9A2-3740-4D19-99CC-913E25893048}" name="Comp E75 -1_x000a_Next Ser_x000a_Hours" dataDxfId="66"/>
    <tableColumn id="18" xr3:uid="{7D637B86-F3DF-402A-BFBC-62DD7FAAECF7}" name="Comp E75 -2_x000a_Next Ser_x000a_Hours" dataDxfId="65"/>
    <tableColumn id="19" xr3:uid="{AFDB01C6-3FAE-4629-A1A1-BF1727A8AAC7}" name="Comp E75 -3_x000a_Next Ser_x000a_Hours" dataDxfId="64"/>
    <tableColumn id="20" xr3:uid="{969E445D-2FA9-4CE7-B265-28BFB35FFB61}" name="Comp E55_x000a_Next Ser_x000a_Hours" dataDxfId="63"/>
    <tableColumn id="21" xr3:uid="{E46B5CCD-6E82-4735-8CBA-259D8786F6A8}" name="Milling DG Next Ser_x000a_Hours" dataDxfId="62"/>
    <tableColumn id="22" xr3:uid="{77D54554-0A12-4688-A80D-F0492377D094}" name="Parboiling DG Next Ser_x000a_Hours" dataDxfId="61"/>
    <tableColumn id="23" xr3:uid="{30C02E38-03F1-48AE-A19D-E69A460A65EA}" name="Service tank _x000a_(Liters)" dataDxfId="60"/>
    <tableColumn id="24" xr3:uid="{80654E89-7E9F-45CD-A480-AB969682212A}" name="Current Total stock_x000a_(Liters)" dataDxfId="59">
      <calculatedColumnFormula>Diesel!I3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B8F6-1D49-4ED9-A151-8BA053CCE2F1}" name="Table113" displayName="Table113" ref="A1:Q35" totalsRowShown="0" headerRowDxfId="58" headerRowBorderDxfId="57" tableBorderDxfId="56" totalsRowBorderDxfId="55">
  <tableColumns count="17">
    <tableColumn id="1" xr3:uid="{BE1398C8-B50B-4A4B-BD0B-DED2C439368D}" name="Date" dataDxfId="54"/>
    <tableColumn id="10" xr3:uid="{7342E3C6-CA38-4E51-A5F6-1A10AF77FD68}" name="Comp E75 -1_x000a_Run Hours" dataDxfId="53"/>
    <tableColumn id="9" xr3:uid="{EB3C4631-153B-4218-AD54-0E8B1BB9E36B}" name="Comp E75 -1_x000a_Run Hr" dataDxfId="52"/>
    <tableColumn id="11" xr3:uid="{078094A9-A66F-4212-9300-4E6163E978CB}" name="Comp E75 -1_x000a_Rem Hours To Service" dataDxfId="51">
      <calculatedColumnFormula>$N$2-Table113[[#This Row],[Comp E75 -1
Run Hr]]</calculatedColumnFormula>
    </tableColumn>
    <tableColumn id="6" xr3:uid="{965F6003-75D7-451D-AA82-033E97BEEEAA}" name="Comp E75 -2_x000a_Run Hours" dataDxfId="50"/>
    <tableColumn id="27" xr3:uid="{BFAC37AC-5D2F-4AF1-AB99-9AA4513056A3}" name="Comp E75 -2_x000a_Run Hr" dataDxfId="49"/>
    <tableColumn id="8" xr3:uid="{EBBA555F-AE7F-4593-A8A5-3BB8D80222FE}" name="Comp E75 -2_x000a_Rem Hours To Service" dataDxfId="48">
      <calculatedColumnFormula>$O$2-Table113[[#This Row],[Comp E75 -2
Run Hr]]</calculatedColumnFormula>
    </tableColumn>
    <tableColumn id="5" xr3:uid="{4A2A7864-B360-4B32-BFAD-01EBBB4E5E6A}" name="Comp E75 -3_x000a_Run Hours" dataDxfId="47">
      <calculatedColumnFormula>Table113[[#This Row],[Comp E75 -2
Run Hr]]-I1</calculatedColumnFormula>
    </tableColumn>
    <tableColumn id="7" xr3:uid="{D2BE3A1C-7C27-463F-BDC5-050908355125}" name="Comp E75 -3_x000a_Run Hr" dataDxfId="46"/>
    <tableColumn id="14" xr3:uid="{61F682B3-B8E2-4235-BED7-270778EEB4AA}" name="Comp E75 -3_x000a_Rem Hours To Service" dataDxfId="45">
      <calculatedColumnFormula>$O$2-Table113[[#This Row],[Comp E75 -2
Run Hr]]</calculatedColumnFormula>
    </tableColumn>
    <tableColumn id="12" xr3:uid="{03E1E486-85BD-487F-8DFC-41F4991922AD}" name="Comp E55 Run Hours" dataDxfId="44"/>
    <tableColumn id="28" xr3:uid="{974A18C3-5054-4195-82AC-D651EE103F1A}" name="Comp E55 Run Hr" dataDxfId="43"/>
    <tableColumn id="13" xr3:uid="{1B3C9DA7-BFC3-4BB5-8904-7BD7D4B68A4A}" name="Comp E55 Rem Hours To Service" dataDxfId="42">
      <calculatedColumnFormula>$Q$2-Table113[[#This Row],[Comp E55 Run Hr]]</calculatedColumnFormula>
    </tableColumn>
    <tableColumn id="2" xr3:uid="{FC598EDF-41DC-4029-8E16-FB935382B71D}" name="Comp E75 -1_x000a_Next Ser_x000a_Hours" dataDxfId="41"/>
    <tableColumn id="3" xr3:uid="{A5DB482B-3616-4D17-B811-B419F975816F}" name="Comp E75 -2_x000a_Next Ser_x000a_Hours" dataDxfId="40"/>
    <tableColumn id="15" xr3:uid="{9F96BCF4-2887-4BF2-BA25-7225F4CE763F}" name="Comp E75 -3_x000a_Next Ser_x000a_Hours" dataDxfId="39"/>
    <tableColumn id="4" xr3:uid="{25BADD7F-FD04-4FBE-A24E-8CD365430733}" name="Comp E55_x000a_Next Ser_x000a_Hours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62DC1-E94E-4583-A821-BCD636E17FBE}" name="Table113456" displayName="Table113456" ref="A1:S35" totalsRowShown="0" headerRowDxfId="37" dataDxfId="35" headerRowBorderDxfId="36" tableBorderDxfId="34" totalsRowBorderDxfId="33">
  <tableColumns count="19">
    <tableColumn id="1" xr3:uid="{FFA0CAE9-6D4C-42A7-9ED1-9D3CC33D3A39}" name="Date" dataDxfId="32"/>
    <tableColumn id="2" xr3:uid="{C302EA9C-DA8B-412B-AE71-A781D1B622CE}" name="TIME " dataDxfId="31"/>
    <tableColumn id="5" xr3:uid="{D9F96568-349C-4AA7-AB0F-260E523480C9}" name="Dip Stick Reading O/P Stock" dataDxfId="30"/>
    <tableColumn id="7" xr3:uid="{0AA56D76-3069-4C83-953E-B30DB045771F}" name="Dip Stick Reading C/L Stock" dataDxfId="29"/>
    <tableColumn id="10" xr3:uid="{64476532-3FE6-49F5-8E0B-0BD6CA0ED119}" name="Main Tank_x000a_Opening Stock (Liters)" dataDxfId="28"/>
    <tableColumn id="6" xr3:uid="{FCC68721-072F-4D5D-B8E1-3954B658D2B1}" name="Received (Liters)" dataDxfId="27"/>
    <tableColumn id="3" xr3:uid="{CBED3DF0-8226-469E-A4CA-F5EA5D6E132C}" name="Main Tank_x000a_Consumption (Liters)" dataDxfId="26">
      <calculatedColumnFormula>Table113456[[#This Row],[Main Tank
Opening Stock (Liters)]]-Table113456[[#This Row],[Main Tank
Closing Stock (Liters)]]+Table113456[[#This Row],[Received (Liters)]]</calculatedColumnFormula>
    </tableColumn>
    <tableColumn id="18" xr3:uid="{A50BFBC1-8227-4B48-AA1F-6F8E79CD1C0D}" name="Main Tank_x000a_Closing Stock (Liters)" dataDxfId="25">
      <calculatedColumnFormula>VLOOKUP(D2,$T$2:$U$682,2,FALSE)</calculatedColumnFormula>
    </tableColumn>
    <tableColumn id="17" xr3:uid="{CFD3173E-76B1-4E34-A30A-B3FA4ACC46A1}" name="Current Total stock_x000a_(Liters)" dataDxfId="24"/>
    <tableColumn id="8" xr3:uid="{7F04DC81-5069-4DDA-A637-A423C7C138BA}" name="DG Milling Run Hours" dataDxfId="23"/>
    <tableColumn id="11" xr3:uid="{580B9AB4-C99A-41C3-B937-29E2F1790229}" name="DG Milling Run Hr Meter" dataDxfId="22"/>
    <tableColumn id="9" xr3:uid="{F40CB500-25D6-460D-A899-6576FA1CCD91}" name="DG Parboiling _x000a_Run Hours" dataDxfId="21"/>
    <tableColumn id="12" xr3:uid="{F2A7E92E-9981-4CA6-A760-9EAA6B8F6A87}" name="DG Parboiling _x000a_Run Hr Meter" dataDxfId="20"/>
    <tableColumn id="13" xr3:uid="{AC74717D-E97A-482E-99D6-0AE3DDFA2E40}" name="DG Parboiling _x000a_Run Hr Meter2" dataDxfId="19"/>
    <tableColumn id="15" xr3:uid="{9F4BCD2A-3122-4E1A-8CA3-13B704768810}" name="DG Parboiling _x000a_Run Hr Meter3" dataDxfId="18">
      <calculatedColumnFormula>Table113456[[#This Row],[DG Parboiling 
Run Hr Meter2]]-Table113456[[#This Row],[DG Milling Run Hr Meter]]</calculatedColumnFormula>
    </tableColumn>
    <tableColumn id="14" xr3:uid="{595B1AE7-315D-435B-935A-C56EDF62DE48}" name="DG Parboiling _x000a_Run Hr Meter4" dataDxfId="17"/>
    <tableColumn id="16" xr3:uid="{8A238E10-DD1C-4167-B551-7ACD0DC7459A}" name="DG Parboiling _x000a_Run Hr Meter5" dataDxfId="16">
      <calculatedColumnFormula>Table113456[[#This Row],[DG Parboiling 
Run Hr Meter4]]-Table113456[[#This Row],[DG Parboiling 
Run Hr Meter]]</calculatedColumnFormula>
    </tableColumn>
    <tableColumn id="20" xr3:uid="{8A380DB3-7B1B-42CB-8EF7-F35053C7DF86}" name="DIESEL ISSUE" dataDxfId="15"/>
    <tableColumn id="4" xr3:uid="{073BFBB9-9AE5-4B39-911E-7162C6D075B4}" name="total consumption" dataDxfId="0">
      <calculatedColumnFormula>Table113456[[#This Row],[Main Tank
Consumption (Liters)]]-Table113456[[#This Row],[DIESEL ISSUE]]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9B24A-DD26-4A0E-80D4-14B28C147065}" name="Table1135" displayName="Table1135" ref="A1:J35" totalsRowShown="0" headerRowDxfId="14" headerRowBorderDxfId="13" tableBorderDxfId="12" totalsRowBorderDxfId="11">
  <tableColumns count="10">
    <tableColumn id="1" xr3:uid="{3C4EDD6F-2817-4DDB-989F-848A9ADE99C6}" name="Date" dataDxfId="10"/>
    <tableColumn id="2" xr3:uid="{9AD1B54B-AA7D-4154-B15C-894ACD69D0FC}" name="TIME " dataDxfId="9"/>
    <tableColumn id="6" xr3:uid="{F8AADA79-9F82-4F2B-A86C-3763EBDDB195}" name="NEPA FINAL" dataDxfId="8"/>
    <tableColumn id="3" xr3:uid="{6B872856-AEB9-441B-A1F9-58FC30D5A96B}" name="NEPA Consumption (KWH)" dataDxfId="7">
      <calculatedColumnFormula>Table1135[[#This Row],[NEPA FINAL]]-#REF!</calculatedColumnFormula>
    </tableColumn>
    <tableColumn id="4" xr3:uid="{EB605483-C0C1-4693-966B-3F0092318F52}" name="MILLING + UTILITY / PARBOILING" dataDxfId="6">
      <calculatedColumnFormula>(Table1135[[#This Row],[MILLING]]-F1)+(Table1135[[#This Row],[UTILITY / PARBOILING]]-G1)</calculatedColumnFormula>
    </tableColumn>
    <tableColumn id="5" xr3:uid="{C0596434-445F-454C-81AF-2CE6D5BD2465}" name="MILLING" dataDxfId="5"/>
    <tableColumn id="7" xr3:uid="{59E30BC1-4313-4D95-8920-C70F26A8D0E5}" name="UTILITY / PARBOILING" dataDxfId="4"/>
    <tableColumn id="9" xr3:uid="{54BB58FB-66F6-4D05-8AB5-D4B165F62041}" name="MILLING _x000a_CONSUMPTION" dataDxfId="3">
      <calculatedColumnFormula>Table1135[[#This Row],[MILLING]]-F1</calculatedColumnFormula>
    </tableColumn>
    <tableColumn id="11" xr3:uid="{782482CD-78EB-42C5-9D73-DCF5C9569291}" name="UTILITY / PARBOILING_x000a_CONSUMPTION" dataDxfId="2">
      <calculatedColumnFormula>Table1135[[#This Row],[UTILITY / PARBOILING]]-G1</calculatedColumnFormula>
    </tableColumn>
    <tableColumn id="8" xr3:uid="{FD455A14-7C4B-4064-8C0D-F731C7080DB1}" name="DIFFERENCE" dataDxfId="1">
      <calculatedColumnFormula>Table1135[[#This Row],[MILLING + UTILITY / PARBOILING]]-Table1135[[#This Row],[NEPA Consumption (KWH)]]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DE1074-1513-4995-8243-DF704F8B04F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6418ac4-8eee-4122-b000-1a18923057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6DF1-27F6-47D2-A25D-1758ED53D680}">
  <sheetPr codeName="Sheet2">
    <pageSetUpPr fitToPage="1"/>
  </sheetPr>
  <dimension ref="B1:AI14"/>
  <sheetViews>
    <sheetView zoomScale="95" zoomScaleNormal="130" workbookViewId="0">
      <pane xSplit="2" topLeftCell="L1" activePane="topRight" state="frozenSplit"/>
      <selection pane="topRight" activeCell="G15" sqref="G15"/>
    </sheetView>
  </sheetViews>
  <sheetFormatPr defaultRowHeight="14.5" x14ac:dyDescent="0.35"/>
  <cols>
    <col min="2" max="2" width="26" bestFit="1" customWidth="1"/>
    <col min="3" max="4" width="10.453125" bestFit="1" customWidth="1"/>
    <col min="5" max="33" width="10.6328125" customWidth="1"/>
    <col min="34" max="35" width="10.453125" bestFit="1" customWidth="1"/>
  </cols>
  <sheetData>
    <row r="1" spans="2:35" ht="29.5" thickBot="1" x14ac:dyDescent="0.4">
      <c r="B1" s="26" t="s">
        <v>32</v>
      </c>
      <c r="C1" s="27">
        <v>46203</v>
      </c>
      <c r="D1" s="27">
        <v>46204</v>
      </c>
      <c r="E1" s="27">
        <v>46205</v>
      </c>
      <c r="F1" s="27">
        <v>46206</v>
      </c>
      <c r="G1" s="27">
        <v>46207</v>
      </c>
      <c r="H1" s="27">
        <v>46208</v>
      </c>
      <c r="I1" s="27">
        <v>46209</v>
      </c>
      <c r="J1" s="27">
        <v>46210</v>
      </c>
      <c r="K1" s="27">
        <v>46211</v>
      </c>
      <c r="L1" s="27">
        <v>46212</v>
      </c>
      <c r="M1" s="27">
        <v>46213</v>
      </c>
      <c r="N1" s="27">
        <v>46214</v>
      </c>
      <c r="O1" s="27">
        <v>46215</v>
      </c>
      <c r="P1" s="27">
        <v>46216</v>
      </c>
      <c r="Q1" s="27">
        <v>46217</v>
      </c>
      <c r="R1" s="27">
        <v>46218</v>
      </c>
      <c r="S1" s="27">
        <v>46219</v>
      </c>
      <c r="T1" s="27">
        <v>46220</v>
      </c>
      <c r="U1" s="27">
        <v>46221</v>
      </c>
      <c r="V1" s="27">
        <v>46222</v>
      </c>
      <c r="W1" s="27">
        <v>46223</v>
      </c>
      <c r="X1" s="27">
        <v>46224</v>
      </c>
      <c r="Y1" s="27">
        <v>46225</v>
      </c>
      <c r="Z1" s="27">
        <v>46226</v>
      </c>
      <c r="AA1" s="27">
        <v>46227</v>
      </c>
      <c r="AB1" s="27">
        <v>46228</v>
      </c>
      <c r="AC1" s="27">
        <v>46229</v>
      </c>
      <c r="AD1" s="27">
        <v>46230</v>
      </c>
      <c r="AE1" s="27">
        <v>46231</v>
      </c>
      <c r="AF1" s="27">
        <v>46232</v>
      </c>
      <c r="AG1" s="27">
        <v>46233</v>
      </c>
      <c r="AH1" s="27">
        <v>46234</v>
      </c>
      <c r="AI1" s="27">
        <v>46235</v>
      </c>
    </row>
    <row r="2" spans="2:35" x14ac:dyDescent="0.35">
      <c r="B2" s="2" t="s">
        <v>33</v>
      </c>
      <c r="C2" s="25">
        <v>1932</v>
      </c>
      <c r="D2" s="25">
        <v>1876</v>
      </c>
      <c r="E2" s="25">
        <v>1872</v>
      </c>
      <c r="F2" s="25">
        <v>1792</v>
      </c>
      <c r="G2" s="25">
        <v>1792</v>
      </c>
      <c r="H2" s="25">
        <v>1750</v>
      </c>
      <c r="I2" s="25">
        <v>1750</v>
      </c>
      <c r="J2" s="25">
        <v>1702</v>
      </c>
      <c r="K2" s="25">
        <v>1702</v>
      </c>
      <c r="L2" s="25">
        <v>1702</v>
      </c>
      <c r="M2" s="25">
        <v>1702</v>
      </c>
      <c r="N2" s="25">
        <v>2580</v>
      </c>
      <c r="O2" s="25">
        <v>2558</v>
      </c>
      <c r="P2" s="25">
        <v>2494</v>
      </c>
      <c r="Q2" s="25">
        <v>2494</v>
      </c>
      <c r="R2" s="25">
        <v>2426</v>
      </c>
      <c r="S2" s="25">
        <v>2426</v>
      </c>
      <c r="T2" s="25">
        <v>2338</v>
      </c>
      <c r="U2" s="25">
        <v>2296</v>
      </c>
      <c r="V2" s="25">
        <v>2296</v>
      </c>
      <c r="W2" s="25">
        <v>2296</v>
      </c>
      <c r="X2" s="25">
        <v>2284</v>
      </c>
      <c r="Y2" s="25">
        <v>2268</v>
      </c>
      <c r="Z2" s="25">
        <v>2224</v>
      </c>
      <c r="AA2" s="25">
        <v>2174</v>
      </c>
      <c r="AB2" s="25">
        <v>2174</v>
      </c>
      <c r="AC2" s="25">
        <v>2150</v>
      </c>
      <c r="AD2" s="25">
        <v>2150</v>
      </c>
      <c r="AE2" s="25">
        <v>2150</v>
      </c>
      <c r="AF2" s="25">
        <v>2150</v>
      </c>
      <c r="AG2" s="25">
        <v>2150</v>
      </c>
      <c r="AH2" s="25">
        <v>2150</v>
      </c>
      <c r="AI2" s="25">
        <v>2150</v>
      </c>
    </row>
    <row r="3" spans="2:35" x14ac:dyDescent="0.35">
      <c r="B3" s="8" t="s">
        <v>34</v>
      </c>
      <c r="C3" s="24">
        <v>24027090</v>
      </c>
      <c r="D3" s="25">
        <v>24035940</v>
      </c>
      <c r="E3" s="25">
        <v>24047800</v>
      </c>
      <c r="F3" s="25">
        <v>24056350</v>
      </c>
      <c r="G3" s="24">
        <v>24067960</v>
      </c>
      <c r="H3" s="24">
        <v>24073080</v>
      </c>
      <c r="I3" s="24">
        <v>24073990</v>
      </c>
      <c r="J3" s="24">
        <v>24082600</v>
      </c>
      <c r="K3" s="24">
        <v>24093790</v>
      </c>
      <c r="L3" s="24">
        <v>24103700</v>
      </c>
      <c r="M3" s="24">
        <v>24112250</v>
      </c>
      <c r="N3" s="24">
        <v>24117020</v>
      </c>
      <c r="O3" s="24">
        <v>24122000</v>
      </c>
      <c r="P3" s="24">
        <v>24125140</v>
      </c>
      <c r="Q3" s="24">
        <v>24135990</v>
      </c>
      <c r="R3" s="24">
        <v>24145790</v>
      </c>
      <c r="S3" s="24">
        <v>24157430</v>
      </c>
      <c r="T3" s="24">
        <v>24167190</v>
      </c>
      <c r="U3" s="24">
        <v>24176020</v>
      </c>
      <c r="V3" s="24">
        <v>24179710</v>
      </c>
      <c r="W3" s="24">
        <v>24180500</v>
      </c>
      <c r="X3" s="24">
        <v>24189710</v>
      </c>
      <c r="Y3" s="24">
        <v>24199100</v>
      </c>
      <c r="Z3" s="24">
        <v>24208190</v>
      </c>
      <c r="AA3" s="24">
        <v>24217830</v>
      </c>
      <c r="AB3" s="24">
        <v>24229690</v>
      </c>
      <c r="AC3" s="24">
        <v>24233680</v>
      </c>
      <c r="AD3" s="24">
        <v>24237140</v>
      </c>
      <c r="AE3" s="24">
        <v>24248800</v>
      </c>
      <c r="AF3" s="24">
        <v>24259810</v>
      </c>
      <c r="AG3" s="24">
        <v>24269940</v>
      </c>
      <c r="AH3" s="24">
        <v>24278570</v>
      </c>
      <c r="AI3" s="24">
        <v>24287130</v>
      </c>
    </row>
    <row r="4" spans="2:35" x14ac:dyDescent="0.35">
      <c r="B4" s="8" t="s">
        <v>35</v>
      </c>
      <c r="C4" s="24">
        <v>3687</v>
      </c>
      <c r="D4" s="25">
        <v>3687</v>
      </c>
      <c r="E4" s="25">
        <v>3709</v>
      </c>
      <c r="F4" s="25">
        <v>3732</v>
      </c>
      <c r="G4" s="24">
        <v>3732</v>
      </c>
      <c r="H4" s="24">
        <v>3756</v>
      </c>
      <c r="I4" s="24">
        <v>3756</v>
      </c>
      <c r="J4" s="24">
        <v>3765</v>
      </c>
      <c r="K4" s="24">
        <v>3765</v>
      </c>
      <c r="L4" s="24">
        <v>3788</v>
      </c>
      <c r="M4" s="24">
        <v>3812</v>
      </c>
      <c r="N4" s="24">
        <v>3812</v>
      </c>
      <c r="O4" s="24">
        <v>3812</v>
      </c>
      <c r="P4" s="24">
        <v>3812</v>
      </c>
      <c r="Q4" s="24">
        <v>3833</v>
      </c>
      <c r="R4" s="24">
        <v>3833</v>
      </c>
      <c r="S4" s="24">
        <v>3857</v>
      </c>
      <c r="T4" s="24">
        <v>3880</v>
      </c>
      <c r="U4" s="24">
        <v>3880</v>
      </c>
      <c r="V4" s="24">
        <v>3882</v>
      </c>
      <c r="W4" s="24">
        <v>3882</v>
      </c>
      <c r="X4" s="24">
        <v>3904</v>
      </c>
      <c r="Y4" s="24">
        <v>3904</v>
      </c>
      <c r="Z4" s="24">
        <v>3927</v>
      </c>
      <c r="AA4" s="24">
        <v>3941</v>
      </c>
      <c r="AB4" s="24">
        <v>3941</v>
      </c>
      <c r="AC4" s="24">
        <v>3941</v>
      </c>
      <c r="AD4" s="24">
        <v>3941</v>
      </c>
      <c r="AE4" s="24">
        <v>3941</v>
      </c>
      <c r="AF4" s="24">
        <v>3964</v>
      </c>
      <c r="AG4" s="24">
        <v>3988</v>
      </c>
      <c r="AH4" s="24">
        <v>3988</v>
      </c>
      <c r="AI4" s="24">
        <v>4012</v>
      </c>
    </row>
    <row r="5" spans="2:35" x14ac:dyDescent="0.35">
      <c r="B5" s="8" t="s">
        <v>36</v>
      </c>
      <c r="C5" s="24">
        <v>6405</v>
      </c>
      <c r="D5" s="25">
        <v>6428</v>
      </c>
      <c r="E5" s="25">
        <v>6428</v>
      </c>
      <c r="F5" s="25">
        <v>6451</v>
      </c>
      <c r="G5" s="24">
        <v>6475</v>
      </c>
      <c r="H5" s="24">
        <v>6475</v>
      </c>
      <c r="I5" s="24">
        <v>6475</v>
      </c>
      <c r="J5" s="24">
        <v>6497</v>
      </c>
      <c r="K5" s="24">
        <v>6521</v>
      </c>
      <c r="L5" s="24">
        <v>6521</v>
      </c>
      <c r="M5" s="24">
        <v>6545</v>
      </c>
      <c r="N5" s="24">
        <v>6545</v>
      </c>
      <c r="O5" s="24">
        <v>6559</v>
      </c>
      <c r="P5" s="24">
        <v>6559</v>
      </c>
      <c r="Q5" s="24">
        <v>6582</v>
      </c>
      <c r="R5" s="24">
        <v>6606</v>
      </c>
      <c r="S5" s="24">
        <v>6606</v>
      </c>
      <c r="T5" s="24">
        <v>6630</v>
      </c>
      <c r="U5" s="24">
        <v>6652</v>
      </c>
      <c r="V5" s="24">
        <v>6652</v>
      </c>
      <c r="W5" s="24">
        <v>6652</v>
      </c>
      <c r="X5" s="24">
        <v>6676</v>
      </c>
      <c r="Y5" s="24">
        <v>6700</v>
      </c>
      <c r="Z5" s="24">
        <v>6700</v>
      </c>
      <c r="AA5" s="24">
        <v>6723</v>
      </c>
      <c r="AB5" s="24">
        <v>6747</v>
      </c>
      <c r="AC5" s="24">
        <v>6749</v>
      </c>
      <c r="AD5" s="24">
        <v>6749</v>
      </c>
      <c r="AE5" s="24">
        <v>6773</v>
      </c>
      <c r="AF5" s="24">
        <v>6773</v>
      </c>
      <c r="AG5" s="24">
        <v>6797</v>
      </c>
      <c r="AH5" s="24">
        <v>6821</v>
      </c>
      <c r="AI5" s="24">
        <v>6821</v>
      </c>
    </row>
    <row r="6" spans="2:35" x14ac:dyDescent="0.35">
      <c r="B6" s="8" t="s">
        <v>46</v>
      </c>
      <c r="C6" s="24">
        <v>558</v>
      </c>
      <c r="D6" s="25">
        <v>580</v>
      </c>
      <c r="E6" s="25">
        <v>604</v>
      </c>
      <c r="F6" s="25">
        <v>604</v>
      </c>
      <c r="G6" s="24">
        <v>628</v>
      </c>
      <c r="H6" s="24">
        <v>628</v>
      </c>
      <c r="I6" s="24">
        <v>628</v>
      </c>
      <c r="J6" s="24">
        <v>642</v>
      </c>
      <c r="K6" s="24">
        <v>665</v>
      </c>
      <c r="L6" s="24">
        <v>688</v>
      </c>
      <c r="M6" s="24">
        <v>688</v>
      </c>
      <c r="N6" s="24">
        <v>712</v>
      </c>
      <c r="O6" s="24">
        <v>712</v>
      </c>
      <c r="P6" s="24">
        <v>712</v>
      </c>
      <c r="Q6" s="24">
        <v>712</v>
      </c>
      <c r="R6" s="24">
        <v>734</v>
      </c>
      <c r="S6" s="24">
        <v>758</v>
      </c>
      <c r="T6" s="24">
        <v>758</v>
      </c>
      <c r="U6" s="24">
        <v>781</v>
      </c>
      <c r="V6" s="24">
        <v>805</v>
      </c>
      <c r="W6" s="24">
        <v>805</v>
      </c>
      <c r="X6" s="24">
        <v>805</v>
      </c>
      <c r="Y6" s="24">
        <v>828</v>
      </c>
      <c r="Z6" s="24">
        <v>852</v>
      </c>
      <c r="AA6" s="24">
        <v>857</v>
      </c>
      <c r="AB6" s="24">
        <v>881</v>
      </c>
      <c r="AC6" s="24">
        <v>881</v>
      </c>
      <c r="AD6" s="24">
        <v>881</v>
      </c>
      <c r="AE6" s="24">
        <v>904</v>
      </c>
      <c r="AF6" s="24">
        <v>926</v>
      </c>
      <c r="AG6" s="24">
        <v>926</v>
      </c>
      <c r="AH6" s="24">
        <v>948</v>
      </c>
      <c r="AI6" s="24">
        <v>972</v>
      </c>
    </row>
    <row r="7" spans="2:35" x14ac:dyDescent="0.35">
      <c r="B7" s="8" t="s">
        <v>47</v>
      </c>
      <c r="C7" s="24">
        <v>25807</v>
      </c>
      <c r="D7" s="25">
        <v>25822</v>
      </c>
      <c r="E7" s="25">
        <v>25846</v>
      </c>
      <c r="F7" s="25">
        <v>25850</v>
      </c>
      <c r="G7" s="24">
        <v>25850</v>
      </c>
      <c r="H7" s="24">
        <v>25850</v>
      </c>
      <c r="I7" s="24">
        <v>25850</v>
      </c>
      <c r="J7" s="24">
        <v>25850</v>
      </c>
      <c r="K7" s="24">
        <v>25850</v>
      </c>
      <c r="L7" s="24">
        <v>25850</v>
      </c>
      <c r="M7" s="24">
        <v>25850</v>
      </c>
      <c r="N7" s="24">
        <v>25850</v>
      </c>
      <c r="O7" s="24">
        <v>25861</v>
      </c>
      <c r="P7" s="24">
        <v>25885</v>
      </c>
      <c r="Q7" s="24">
        <v>25885</v>
      </c>
      <c r="R7" s="24">
        <v>25885</v>
      </c>
      <c r="S7" s="24">
        <v>25885</v>
      </c>
      <c r="T7" s="24">
        <v>25886</v>
      </c>
      <c r="U7" s="24">
        <v>25886</v>
      </c>
      <c r="V7" s="24">
        <v>25886</v>
      </c>
      <c r="W7" s="24">
        <v>25886</v>
      </c>
      <c r="X7" s="24">
        <v>25886</v>
      </c>
      <c r="Y7" s="24">
        <v>25886</v>
      </c>
      <c r="Z7" s="24">
        <v>25886</v>
      </c>
      <c r="AA7" s="24">
        <v>25886</v>
      </c>
      <c r="AB7" s="24">
        <v>25886</v>
      </c>
      <c r="AC7" s="24">
        <v>25907</v>
      </c>
      <c r="AD7" s="24">
        <v>25931</v>
      </c>
      <c r="AE7" s="24">
        <v>25931</v>
      </c>
      <c r="AF7" s="24">
        <v>25931</v>
      </c>
      <c r="AG7" s="24">
        <v>25931</v>
      </c>
      <c r="AH7" s="24">
        <v>25931</v>
      </c>
      <c r="AI7" s="24">
        <v>25931</v>
      </c>
    </row>
    <row r="8" spans="2:35" x14ac:dyDescent="0.35">
      <c r="B8" s="8" t="s">
        <v>37</v>
      </c>
      <c r="C8" s="24">
        <v>5631.3</v>
      </c>
      <c r="D8" s="25">
        <v>5636.3</v>
      </c>
      <c r="E8" s="25">
        <v>5636.3</v>
      </c>
      <c r="F8" s="25">
        <v>5642.3</v>
      </c>
      <c r="G8" s="25">
        <v>5642.3</v>
      </c>
      <c r="H8" s="25">
        <v>5642.3</v>
      </c>
      <c r="I8" s="25">
        <v>5642.3</v>
      </c>
      <c r="J8" s="24">
        <v>5645</v>
      </c>
      <c r="K8" s="24">
        <v>5645</v>
      </c>
      <c r="L8" s="24">
        <v>5645</v>
      </c>
      <c r="M8" s="24">
        <v>5645</v>
      </c>
      <c r="N8" s="24">
        <v>5646.2</v>
      </c>
      <c r="O8" s="24">
        <v>5646.2</v>
      </c>
      <c r="P8" s="24">
        <v>5646.2</v>
      </c>
      <c r="Q8" s="24">
        <v>5646.2</v>
      </c>
      <c r="R8" s="24">
        <v>5649.7</v>
      </c>
      <c r="S8" s="24">
        <v>5649.7</v>
      </c>
      <c r="T8" s="24">
        <v>5651.8</v>
      </c>
      <c r="U8" s="24">
        <v>5654.6</v>
      </c>
      <c r="V8" s="24">
        <v>5654.6</v>
      </c>
      <c r="W8" s="24">
        <v>5654.6</v>
      </c>
      <c r="X8" s="24">
        <v>5655.5</v>
      </c>
      <c r="Y8" s="24">
        <v>5656.6</v>
      </c>
      <c r="Z8" s="24">
        <v>5659.7</v>
      </c>
      <c r="AA8" s="24">
        <v>5662.7</v>
      </c>
      <c r="AB8" s="24">
        <v>5662.7</v>
      </c>
      <c r="AC8" s="24">
        <v>5664.3</v>
      </c>
      <c r="AD8" s="24">
        <v>5664.3</v>
      </c>
      <c r="AE8" s="24">
        <v>5664.3</v>
      </c>
      <c r="AF8" s="24">
        <v>5664.3</v>
      </c>
      <c r="AG8" s="24">
        <v>5664.3</v>
      </c>
      <c r="AH8" s="24">
        <v>5664.3</v>
      </c>
      <c r="AI8" s="24">
        <v>5664.3</v>
      </c>
    </row>
    <row r="9" spans="2:35" x14ac:dyDescent="0.35">
      <c r="B9" s="8" t="s">
        <v>38</v>
      </c>
      <c r="C9" s="24">
        <v>12488.3</v>
      </c>
      <c r="D9" s="25">
        <v>12493.3</v>
      </c>
      <c r="E9" s="25">
        <v>12494.5</v>
      </c>
      <c r="F9" s="25">
        <v>12501.1</v>
      </c>
      <c r="G9" s="25">
        <v>12501.1</v>
      </c>
      <c r="H9" s="25">
        <v>12501.1</v>
      </c>
      <c r="I9" s="25">
        <v>12501.1</v>
      </c>
      <c r="J9" s="24">
        <v>12503.8</v>
      </c>
      <c r="K9" s="24">
        <v>12503.8</v>
      </c>
      <c r="L9" s="24">
        <v>12503.8</v>
      </c>
      <c r="M9" s="24">
        <v>12503.8</v>
      </c>
      <c r="N9" s="24">
        <v>12504.9</v>
      </c>
      <c r="O9" s="24">
        <v>12507</v>
      </c>
      <c r="P9" s="24">
        <v>12512.9</v>
      </c>
      <c r="Q9" s="24">
        <v>12512.9</v>
      </c>
      <c r="R9" s="24">
        <v>12516.4</v>
      </c>
      <c r="S9" s="24">
        <v>12516.4</v>
      </c>
      <c r="T9" s="24">
        <v>12518.5</v>
      </c>
      <c r="U9" s="24">
        <v>12521.3</v>
      </c>
      <c r="V9" s="24">
        <v>12521.3</v>
      </c>
      <c r="W9" s="24">
        <v>12521.3</v>
      </c>
      <c r="X9" s="24">
        <v>12522.2</v>
      </c>
      <c r="Y9" s="24">
        <v>12523.3</v>
      </c>
      <c r="Z9" s="24">
        <v>12526.4</v>
      </c>
      <c r="AA9" s="24">
        <v>12529.4</v>
      </c>
      <c r="AB9" s="24">
        <v>12529.4</v>
      </c>
      <c r="AC9" s="24">
        <v>12532.3</v>
      </c>
      <c r="AD9" s="24">
        <v>12532.3</v>
      </c>
      <c r="AE9" s="24">
        <v>12532.3</v>
      </c>
      <c r="AF9" s="24">
        <v>12532.3</v>
      </c>
      <c r="AG9" s="24">
        <v>12532.3</v>
      </c>
      <c r="AH9" s="24">
        <v>12532.3</v>
      </c>
      <c r="AI9" s="24">
        <v>12532.3</v>
      </c>
    </row>
    <row r="10" spans="2:35" x14ac:dyDescent="0.35">
      <c r="B10" s="8" t="s">
        <v>59</v>
      </c>
      <c r="C10" s="24">
        <v>3203489</v>
      </c>
      <c r="D10" s="25">
        <v>3212587</v>
      </c>
      <c r="E10" s="25">
        <v>3224858</v>
      </c>
      <c r="F10" s="25">
        <v>3234941</v>
      </c>
      <c r="G10" s="24">
        <v>3247093</v>
      </c>
      <c r="H10" s="24">
        <v>3251491</v>
      </c>
      <c r="I10" s="24">
        <v>3252272</v>
      </c>
      <c r="J10" s="24">
        <v>3263073</v>
      </c>
      <c r="K10" s="24">
        <v>3275477</v>
      </c>
      <c r="L10" s="24">
        <v>3287205</v>
      </c>
      <c r="M10" s="24">
        <v>3299866</v>
      </c>
      <c r="N10" s="24">
        <v>3301119</v>
      </c>
      <c r="O10" s="24">
        <v>3303032</v>
      </c>
      <c r="P10" s="24">
        <v>3303035</v>
      </c>
      <c r="Q10" s="24">
        <v>3316063</v>
      </c>
      <c r="R10" s="24">
        <v>3326476</v>
      </c>
      <c r="S10" s="24">
        <v>3339130</v>
      </c>
      <c r="T10" s="24">
        <v>3351197</v>
      </c>
      <c r="U10" s="24">
        <v>3361064</v>
      </c>
      <c r="V10" s="24">
        <v>3362285</v>
      </c>
      <c r="W10" s="24">
        <v>3362290</v>
      </c>
      <c r="X10" s="24">
        <v>3375728</v>
      </c>
      <c r="Y10" s="24">
        <v>3386313</v>
      </c>
      <c r="Z10" s="24">
        <v>3396838</v>
      </c>
      <c r="AA10" s="24">
        <v>3407745</v>
      </c>
      <c r="AB10" s="24">
        <v>3419791</v>
      </c>
      <c r="AC10" s="24">
        <v>3420458</v>
      </c>
      <c r="AD10" s="24">
        <v>3420543</v>
      </c>
      <c r="AE10" s="24">
        <v>3432496</v>
      </c>
      <c r="AF10" s="24">
        <v>3444122</v>
      </c>
      <c r="AG10" s="24">
        <v>3458327</v>
      </c>
      <c r="AH10" s="24">
        <v>3470399</v>
      </c>
      <c r="AI10" s="24">
        <v>3482505</v>
      </c>
    </row>
    <row r="11" spans="2:35" x14ac:dyDescent="0.35">
      <c r="B11" s="8" t="s">
        <v>60</v>
      </c>
      <c r="C11" s="24">
        <v>300343</v>
      </c>
      <c r="D11" s="25">
        <v>305571</v>
      </c>
      <c r="E11" s="25">
        <v>312490</v>
      </c>
      <c r="F11" s="25">
        <v>316687</v>
      </c>
      <c r="G11" s="24">
        <v>323465</v>
      </c>
      <c r="H11" s="24">
        <v>326826</v>
      </c>
      <c r="I11" s="24">
        <v>327528</v>
      </c>
      <c r="J11" s="24">
        <v>331320</v>
      </c>
      <c r="K11" s="24">
        <v>337265</v>
      </c>
      <c r="L11" s="24">
        <v>342023</v>
      </c>
      <c r="M11" s="24">
        <v>344378</v>
      </c>
      <c r="N11" s="24">
        <v>349494</v>
      </c>
      <c r="O11" s="24">
        <v>354577</v>
      </c>
      <c r="P11" s="24">
        <v>358599</v>
      </c>
      <c r="Q11" s="24">
        <v>363850</v>
      </c>
      <c r="R11" s="24">
        <v>369451</v>
      </c>
      <c r="S11" s="24">
        <v>375971</v>
      </c>
      <c r="T11" s="24">
        <v>380422</v>
      </c>
      <c r="U11" s="24">
        <v>385108</v>
      </c>
      <c r="V11" s="24">
        <v>388899</v>
      </c>
      <c r="W11" s="24">
        <v>389791</v>
      </c>
      <c r="X11" s="24">
        <v>392636</v>
      </c>
      <c r="Y11" s="24">
        <v>397542</v>
      </c>
      <c r="Z11" s="24">
        <v>402146</v>
      </c>
      <c r="AA11" s="24">
        <v>407190</v>
      </c>
      <c r="AB11" s="24">
        <v>414301</v>
      </c>
      <c r="AC11" s="24">
        <v>418895</v>
      </c>
      <c r="AD11" s="24">
        <v>423191</v>
      </c>
      <c r="AE11" s="24">
        <v>430133</v>
      </c>
      <c r="AF11" s="24">
        <v>436428</v>
      </c>
      <c r="AG11" s="24">
        <v>439897</v>
      </c>
      <c r="AH11" s="24">
        <v>442882</v>
      </c>
      <c r="AI11" s="24">
        <v>445792</v>
      </c>
    </row>
    <row r="12" spans="2:35" x14ac:dyDescent="0.35">
      <c r="B12" s="8" t="s">
        <v>49</v>
      </c>
      <c r="C12" s="24">
        <v>0</v>
      </c>
      <c r="D12" s="25">
        <v>0</v>
      </c>
      <c r="E12" s="25">
        <v>0</v>
      </c>
      <c r="F12" s="25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15198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</row>
    <row r="13" spans="2:35" x14ac:dyDescent="0.35">
      <c r="B13" s="8" t="s">
        <v>66</v>
      </c>
      <c r="C13" s="24">
        <v>85</v>
      </c>
      <c r="D13" s="25">
        <v>0</v>
      </c>
      <c r="E13" s="24">
        <v>0</v>
      </c>
      <c r="F13" s="24">
        <v>75</v>
      </c>
      <c r="G13" s="24">
        <v>0</v>
      </c>
      <c r="H13" s="24">
        <f>150+25+687</f>
        <v>862</v>
      </c>
      <c r="I13" s="24">
        <v>10</v>
      </c>
      <c r="J13" s="24">
        <v>200</v>
      </c>
      <c r="K13" s="24">
        <v>0</v>
      </c>
      <c r="L13" s="24">
        <v>0</v>
      </c>
      <c r="M13" s="24">
        <v>10</v>
      </c>
      <c r="N13" s="24">
        <v>10</v>
      </c>
      <c r="O13" s="24">
        <v>0</v>
      </c>
      <c r="P13" s="24">
        <v>0</v>
      </c>
      <c r="Q13" s="24">
        <v>100</v>
      </c>
      <c r="R13" s="24">
        <v>0</v>
      </c>
      <c r="S13" s="24">
        <v>175</v>
      </c>
      <c r="T13" s="24">
        <v>75</v>
      </c>
      <c r="U13" s="24">
        <v>0</v>
      </c>
      <c r="V13" s="24">
        <v>0</v>
      </c>
      <c r="W13" s="24">
        <v>0</v>
      </c>
      <c r="X13" s="24">
        <v>85</v>
      </c>
      <c r="Y13" s="24">
        <v>0</v>
      </c>
      <c r="Z13" s="24">
        <v>0</v>
      </c>
      <c r="AA13" s="24">
        <v>75</v>
      </c>
      <c r="AB13" s="24">
        <v>0</v>
      </c>
      <c r="AC13" s="24">
        <v>0</v>
      </c>
      <c r="AD13" s="24">
        <v>0</v>
      </c>
      <c r="AE13" s="24">
        <v>25</v>
      </c>
      <c r="AF13" s="24">
        <v>0</v>
      </c>
      <c r="AG13" s="24">
        <v>0</v>
      </c>
      <c r="AH13" s="24">
        <v>75</v>
      </c>
      <c r="AI13" s="24">
        <v>0</v>
      </c>
    </row>
    <row r="14" spans="2:35" x14ac:dyDescent="0.35">
      <c r="B14" s="8" t="s">
        <v>74</v>
      </c>
      <c r="C14" s="24">
        <v>5184</v>
      </c>
      <c r="D14" s="25">
        <v>5184</v>
      </c>
      <c r="E14" s="25">
        <v>5184</v>
      </c>
      <c r="F14" s="25">
        <v>5184</v>
      </c>
      <c r="G14" s="25">
        <v>5184</v>
      </c>
      <c r="H14" s="25">
        <v>5184</v>
      </c>
      <c r="I14" s="25">
        <f>H14-I13</f>
        <v>5174</v>
      </c>
      <c r="J14" s="24">
        <v>5184</v>
      </c>
      <c r="K14" s="24">
        <v>5184</v>
      </c>
      <c r="L14" s="24">
        <f>K14</f>
        <v>5184</v>
      </c>
      <c r="M14" s="24">
        <f>L14-M13</f>
        <v>5174</v>
      </c>
      <c r="N14" s="24">
        <v>5184</v>
      </c>
      <c r="O14" s="24">
        <v>5184</v>
      </c>
      <c r="P14" s="24">
        <v>5184</v>
      </c>
      <c r="Q14" s="24">
        <f>P14-Q13</f>
        <v>5084</v>
      </c>
      <c r="R14" s="24">
        <v>5184</v>
      </c>
      <c r="S14" s="24">
        <f>R14-S13</f>
        <v>5009</v>
      </c>
      <c r="T14" s="24">
        <v>5184</v>
      </c>
      <c r="U14" s="24">
        <v>5184</v>
      </c>
      <c r="V14" s="24">
        <v>5184</v>
      </c>
      <c r="W14" s="24">
        <v>5184</v>
      </c>
      <c r="X14" s="24">
        <v>5184</v>
      </c>
      <c r="Y14" s="24">
        <v>5184</v>
      </c>
      <c r="Z14" s="24">
        <v>5184</v>
      </c>
      <c r="AA14" s="24">
        <v>5184</v>
      </c>
      <c r="AB14" s="24">
        <v>5184</v>
      </c>
      <c r="AC14" s="24">
        <v>5184</v>
      </c>
      <c r="AD14" s="24">
        <v>5184</v>
      </c>
      <c r="AE14" s="24">
        <f>AD14-AE13</f>
        <v>5159</v>
      </c>
      <c r="AF14" s="24">
        <v>5159</v>
      </c>
      <c r="AG14" s="24">
        <v>5159</v>
      </c>
      <c r="AH14" s="24">
        <f>AG14-AH13</f>
        <v>5084</v>
      </c>
      <c r="AI14" s="24">
        <v>5084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DJv8Ywnx4llR06KWbxohvUP4M0V7yepqPcMAnGQcgOY1eTxLyXMGWUgE3QJvgQyTiQyRFcB3wsOpolxFQz2klA==" saltValue="NLBw8PVYv90wTYsrOiZq4w==" spinCount="100000" sqref="Q3:AG3 Q7:S9 T6:V9 Q4:V5 W4:X9 Y8:Y11 Y4:Y6 Z4:Z7 AA4:AG9 AH3:AH9 R2:AI2 AI8:AI9" name="Range1"/>
    <protectedRange algorithmName="SHA-512" hashValue="DJv8Ywnx4llR06KWbxohvUP4M0V7yepqPcMAnGQcgOY1eTxLyXMGWUgE3QJvgQyTiQyRFcB3wsOpolxFQz2klA==" saltValue="NLBw8PVYv90wTYsrOiZq4w==" spinCount="100000" sqref="D2:F12 G2 G7:I9 J7" name="Range1_1"/>
    <protectedRange algorithmName="SHA-512" hashValue="DJv8Ywnx4llR06KWbxohvUP4M0V7yepqPcMAnGQcgOY1eTxLyXMGWUgE3QJvgQyTiQyRFcB3wsOpolxFQz2klA==" saltValue="NLBw8PVYv90wTYsrOiZq4w==" spinCount="100000" sqref="C2:C9" name="Range1_3"/>
  </protectedRanges>
  <phoneticPr fontId="3" type="noConversion"/>
  <printOptions horizontalCentered="1"/>
  <pageMargins left="0.11811023622047245" right="0.11811023622047245" top="0.15748031496062992" bottom="0.15748031496062992" header="0.31496062992125984" footer="0.31496062992125984"/>
  <pageSetup scale="94" orientation="portrait" r:id="rId1"/>
  <ignoredErrors>
    <ignoredError sqref="L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6"/>
  <sheetViews>
    <sheetView zoomScaleNormal="160" workbookViewId="0">
      <pane xSplit="1" ySplit="3" topLeftCell="B27" activePane="bottomRight" state="frozenSplit"/>
      <selection pane="topRight" activeCell="B1" sqref="B1"/>
      <selection pane="bottomLeft" activeCell="A4" sqref="A4"/>
      <selection pane="bottomRight" activeCell="F39" sqref="F39"/>
    </sheetView>
  </sheetViews>
  <sheetFormatPr defaultRowHeight="14.5" x14ac:dyDescent="0.35"/>
  <cols>
    <col min="1" max="1" width="10.36328125" bestFit="1" customWidth="1"/>
    <col min="2" max="3" width="12.08984375" bestFit="1" customWidth="1"/>
    <col min="4" max="5" width="11.26953125" bestFit="1" customWidth="1"/>
    <col min="6" max="6" width="11.26953125" customWidth="1"/>
    <col min="7" max="7" width="11.26953125" bestFit="1" customWidth="1"/>
    <col min="8" max="8" width="9.6328125" bestFit="1" customWidth="1"/>
    <col min="9" max="9" width="12.26953125" bestFit="1" customWidth="1"/>
    <col min="10" max="10" width="9.54296875" hidden="1" customWidth="1"/>
    <col min="11" max="11" width="11.7265625" customWidth="1"/>
    <col min="12" max="12" width="11.26953125" bestFit="1" customWidth="1"/>
    <col min="13" max="13" width="11.26953125" customWidth="1"/>
    <col min="14" max="14" width="10.90625" bestFit="1" customWidth="1"/>
    <col min="15" max="15" width="11" customWidth="1"/>
    <col min="16" max="16" width="12.26953125" customWidth="1"/>
    <col min="21" max="21" width="10.08984375" customWidth="1"/>
    <col min="22" max="23" width="10.7265625" customWidth="1"/>
    <col min="24" max="24" width="12.6328125" customWidth="1"/>
  </cols>
  <sheetData>
    <row r="1" spans="1:24" ht="58" x14ac:dyDescent="0.35">
      <c r="A1" s="1" t="s">
        <v>0</v>
      </c>
      <c r="B1" s="2" t="s">
        <v>52</v>
      </c>
      <c r="C1" s="2" t="s">
        <v>1</v>
      </c>
      <c r="D1" s="2" t="s">
        <v>5</v>
      </c>
      <c r="E1" s="2" t="s">
        <v>4</v>
      </c>
      <c r="F1" s="2" t="s">
        <v>43</v>
      </c>
      <c r="G1" s="2" t="s">
        <v>7</v>
      </c>
      <c r="H1" s="2" t="s">
        <v>2</v>
      </c>
      <c r="I1" s="3" t="s">
        <v>3</v>
      </c>
      <c r="J1" s="2" t="s">
        <v>6</v>
      </c>
      <c r="K1" s="2" t="s">
        <v>8</v>
      </c>
      <c r="L1" s="2" t="s">
        <v>9</v>
      </c>
      <c r="M1" s="2" t="s">
        <v>45</v>
      </c>
      <c r="N1" s="2" t="s">
        <v>12</v>
      </c>
      <c r="O1" s="2" t="s">
        <v>10</v>
      </c>
      <c r="P1" s="2" t="s">
        <v>11</v>
      </c>
      <c r="Q1" s="2" t="s">
        <v>16</v>
      </c>
      <c r="R1" s="2" t="s">
        <v>17</v>
      </c>
      <c r="S1" s="2" t="s">
        <v>48</v>
      </c>
      <c r="T1" s="2" t="s">
        <v>18</v>
      </c>
      <c r="U1" s="2" t="s">
        <v>67</v>
      </c>
      <c r="V1" s="2" t="s">
        <v>68</v>
      </c>
      <c r="W1" s="2" t="s">
        <v>73</v>
      </c>
      <c r="X1" s="2" t="s">
        <v>72</v>
      </c>
    </row>
    <row r="2" spans="1:24" hidden="1" x14ac:dyDescent="0.35">
      <c r="A2" s="4">
        <v>46202</v>
      </c>
      <c r="B2" s="7" t="e">
        <f>[1]!Table113456[[#This Row],[Consumption (Liters)]]</f>
        <v>#REF!</v>
      </c>
      <c r="C2" s="7" t="e">
        <f>[1]!Table1135[[#This Row],[NEPA Consumption (KWH)]]</f>
        <v>#REF!</v>
      </c>
      <c r="D2" s="5" t="e">
        <f>[1]!Table113[[#This Row],[Comp E75 -1
Run Hours]]</f>
        <v>#REF!</v>
      </c>
      <c r="E2" s="10" t="e">
        <f>[1]!Table113[[#This Row],[Comp E75 -2
Run Hours]]</f>
        <v>#REF!</v>
      </c>
      <c r="F2" s="10" t="e">
        <f>[1]!Table113[[#This Row],[Comp E75 -3
Run Hours]]</f>
        <v>#REF!</v>
      </c>
      <c r="G2" s="10" t="e">
        <f>[1]!Table113[[#This Row],[Comp E55 Run Hours]]</f>
        <v>#REF!</v>
      </c>
      <c r="H2" s="13" t="e">
        <f>[1]!Table113456[[#This Row],[DG Milling Run Hours]]</f>
        <v>#REF!</v>
      </c>
      <c r="I2" s="12" t="e">
        <f>[1]!Table113456[[#This Row],[DG Parboiling 
Run Hours]]</f>
        <v>#REF!</v>
      </c>
      <c r="J2" s="11"/>
      <c r="K2" s="12" t="e">
        <f>[1]!Table113[[#This Row],[Comp E75 -1
Rem Hours To Service]]</f>
        <v>#REF!</v>
      </c>
      <c r="L2" s="12" t="e">
        <f>[1]!Table113[[#This Row],[Comp E75 -2
Rem Hours To Service]]</f>
        <v>#REF!</v>
      </c>
      <c r="M2" s="12" t="e">
        <f>[1]!Table113[[#This Row],[Comp E75 -3
Rem Hours To Service]]</f>
        <v>#REF!</v>
      </c>
      <c r="N2" s="12" t="e">
        <f>[1]!Table113[[#This Row],[Comp E55 Rem Hours To Service]]</f>
        <v>#REF!</v>
      </c>
      <c r="O2" s="12" t="e">
        <f>[1]!Table113456[[#This Row],[Milling DG Rem Hours To Service]]</f>
        <v>#REF!</v>
      </c>
      <c r="P2" s="12" t="e">
        <f>[1]!Table113456[[#This Row],[Parboiling DG Rem Hours 
To Service]]</f>
        <v>#REF!</v>
      </c>
      <c r="Q2" s="19"/>
      <c r="R2" s="19"/>
      <c r="S2" s="19"/>
      <c r="T2" s="19"/>
      <c r="U2" s="32"/>
      <c r="V2" s="32"/>
      <c r="W2" s="34"/>
      <c r="X2" s="34"/>
    </row>
    <row r="3" spans="1:24" hidden="1" x14ac:dyDescent="0.35">
      <c r="A3" s="4">
        <v>46203</v>
      </c>
      <c r="B3" s="20">
        <f>Table113456[[#This Row],[Main Tank
Consumption (Liters)]]</f>
        <v>1105</v>
      </c>
      <c r="C3" s="5">
        <f>Table1135[[#This Row],[NEPA Consumption (KWH)]]</f>
        <v>8850</v>
      </c>
      <c r="D3" s="5">
        <f>Table113[[#This Row],[Comp E75 -1
Run Hours]]</f>
        <v>0</v>
      </c>
      <c r="E3" s="10">
        <f>Table113[[#This Row],[Comp E75 -2
Run Hours]]</f>
        <v>23</v>
      </c>
      <c r="F3" s="10">
        <f>Table113[[#This Row],[Comp E75 -3
Run Hours]]</f>
        <v>22</v>
      </c>
      <c r="G3" s="10">
        <f>Table113[[#This Row],[Comp E55 Run Hours]]</f>
        <v>15</v>
      </c>
      <c r="H3" s="13">
        <f>Table113456[[#This Row],[DG Milling Run Hours]]</f>
        <v>5</v>
      </c>
      <c r="I3" s="12">
        <f>Table113456[[#This Row],[DG Parboiling 
Run Hours]]</f>
        <v>5</v>
      </c>
      <c r="J3" s="9"/>
      <c r="K3" s="12">
        <f>Table113[[#This Row],[Comp E75 -1
Rem Hours To Service]]</f>
        <v>1753</v>
      </c>
      <c r="L3" s="12">
        <f>Table113[[#This Row],[Comp E75 -2
Rem Hours To Service]]</f>
        <v>1638</v>
      </c>
      <c r="M3" s="12">
        <f>Table113[[#This Row],[Comp E75 -3
Rem Hours To Service]]</f>
        <v>3420</v>
      </c>
      <c r="N3" s="12">
        <f>Table113[[#This Row],[Comp E55 Rem Hours To Service]]</f>
        <v>1108</v>
      </c>
      <c r="O3" s="12">
        <f>Table113456[[#This Row],[DG Parboiling 
Run Hr Meter3]]</f>
        <v>187.69999999999982</v>
      </c>
      <c r="P3" s="12">
        <f>Table113456[[#This Row],[DG Parboiling 
Run Hr Meter5]]</f>
        <v>150.20000000000073</v>
      </c>
      <c r="Q3" s="12">
        <v>5440</v>
      </c>
      <c r="R3" s="12">
        <v>8066</v>
      </c>
      <c r="S3" s="12">
        <v>4000</v>
      </c>
      <c r="T3" s="12">
        <v>26930</v>
      </c>
      <c r="U3" s="12">
        <v>5824</v>
      </c>
      <c r="V3" s="12">
        <v>12643</v>
      </c>
      <c r="W3" s="12">
        <v>5184</v>
      </c>
      <c r="X3" s="12">
        <f>Diesel!I3</f>
        <v>38923</v>
      </c>
    </row>
    <row r="4" spans="1:24" x14ac:dyDescent="0.35">
      <c r="A4" s="4">
        <v>46204</v>
      </c>
      <c r="B4" s="20">
        <f>Table113456[[#This Row],[Main Tank
Consumption (Liters)]]</f>
        <v>79</v>
      </c>
      <c r="C4" s="5">
        <f>Table1135[[#This Row],[NEPA Consumption (KWH)]]</f>
        <v>11860</v>
      </c>
      <c r="D4" s="5">
        <f>Table113[[#This Row],[Comp E75 -1
Run Hours]]</f>
        <v>22</v>
      </c>
      <c r="E4" s="10">
        <f>Table113[[#This Row],[Comp E75 -2
Run Hours]]</f>
        <v>0</v>
      </c>
      <c r="F4" s="10">
        <f>Table113[[#This Row],[Comp E75 -3
Run Hours]]</f>
        <v>24</v>
      </c>
      <c r="G4" s="10">
        <f>Table113[[#This Row],[Comp E55 Run Hours]]</f>
        <v>24</v>
      </c>
      <c r="H4" s="13">
        <f>Table113456[[#This Row],[DG Milling Run Hours]]</f>
        <v>0</v>
      </c>
      <c r="I4" s="12">
        <f>Table113456[[#This Row],[DG Parboiling 
Run Hours]]</f>
        <v>1.2000000000007276</v>
      </c>
      <c r="J4" s="6"/>
      <c r="K4" s="12">
        <f>Table113[[#This Row],[Comp E75 -1
Rem Hours To Service]]</f>
        <v>1731</v>
      </c>
      <c r="L4" s="12">
        <f>Table113[[#This Row],[Comp E75 -2
Rem Hours To Service]]</f>
        <v>1638</v>
      </c>
      <c r="M4" s="12">
        <f>Table113[[#This Row],[Comp E75 -3
Rem Hours To Service]]</f>
        <v>3396</v>
      </c>
      <c r="N4" s="12">
        <f>Table113[[#This Row],[Comp E55 Rem Hours To Service]]</f>
        <v>1084</v>
      </c>
      <c r="O4" s="12">
        <f>Table113456[[#This Row],[DG Parboiling 
Run Hr Meter3]]</f>
        <v>187.69999999999982</v>
      </c>
      <c r="P4" s="12">
        <f>Table113456[[#This Row],[DG Parboiling 
Run Hr Meter5]]</f>
        <v>149</v>
      </c>
      <c r="Q4" s="12"/>
      <c r="R4" s="12"/>
      <c r="S4" s="12"/>
      <c r="T4" s="12"/>
      <c r="U4" s="12"/>
      <c r="V4" s="12"/>
      <c r="W4" s="12">
        <v>5184</v>
      </c>
      <c r="X4" s="12">
        <f>Diesel!I4</f>
        <v>38844</v>
      </c>
    </row>
    <row r="5" spans="1:24" x14ac:dyDescent="0.35">
      <c r="A5" s="4">
        <v>46205</v>
      </c>
      <c r="B5" s="20">
        <f>Table113456[[#This Row],[Main Tank
Consumption (Liters)]]</f>
        <v>1615</v>
      </c>
      <c r="C5" s="5">
        <f>Table1135[[#This Row],[NEPA Consumption (KWH)]]</f>
        <v>8550</v>
      </c>
      <c r="D5" s="5">
        <f>Table113[[#This Row],[Comp E75 -1
Run Hours]]</f>
        <v>23</v>
      </c>
      <c r="E5" s="10">
        <f>Table113[[#This Row],[Comp E75 -2
Run Hours]]</f>
        <v>23</v>
      </c>
      <c r="F5" s="10">
        <f>Table113[[#This Row],[Comp E75 -3
Run Hours]]</f>
        <v>0</v>
      </c>
      <c r="G5" s="10">
        <f>Table113[[#This Row],[Comp E55 Run Hours]]</f>
        <v>4</v>
      </c>
      <c r="H5" s="13">
        <f>Table113456[[#This Row],[DG Milling Run Hours]]</f>
        <v>6</v>
      </c>
      <c r="I5" s="12">
        <f>Table113456[[#This Row],[DG Parboiling 
Run Hours]]</f>
        <v>6.6000000000003638</v>
      </c>
      <c r="J5" s="6"/>
      <c r="K5" s="12">
        <f>Table113[[#This Row],[Comp E75 -1
Rem Hours To Service]]</f>
        <v>1708</v>
      </c>
      <c r="L5" s="12">
        <f>Table113[[#This Row],[Comp E75 -2
Rem Hours To Service]]</f>
        <v>1615</v>
      </c>
      <c r="M5" s="12">
        <f>Table113[[#This Row],[Comp E75 -3
Rem Hours To Service]]</f>
        <v>3396</v>
      </c>
      <c r="N5" s="12">
        <f>Table113[[#This Row],[Comp E55 Rem Hours To Service]]</f>
        <v>1080</v>
      </c>
      <c r="O5" s="12">
        <f>Table113456[[#This Row],[DG Parboiling 
Run Hr Meter3]]</f>
        <v>181.69999999999982</v>
      </c>
      <c r="P5" s="12">
        <f>Table113456[[#This Row],[DG Parboiling 
Run Hr Meter5]]</f>
        <v>142.39999999999964</v>
      </c>
      <c r="Q5" s="12"/>
      <c r="R5" s="12"/>
      <c r="S5" s="12"/>
      <c r="T5" s="12"/>
      <c r="U5" s="12"/>
      <c r="V5" s="12"/>
      <c r="W5" s="12"/>
      <c r="X5" s="12">
        <f>Diesel!I5</f>
        <v>37229</v>
      </c>
    </row>
    <row r="6" spans="1:24" x14ac:dyDescent="0.35">
      <c r="A6" s="4">
        <v>46206</v>
      </c>
      <c r="B6" s="20">
        <f>Table113456[[#This Row],[Main Tank
Consumption (Liters)]]</f>
        <v>0</v>
      </c>
      <c r="C6" s="5">
        <f>Table1135[[#This Row],[NEPA Consumption (KWH)]]</f>
        <v>11610</v>
      </c>
      <c r="D6" s="5">
        <f>Table113[[#This Row],[Comp E75 -1
Run Hours]]</f>
        <v>0</v>
      </c>
      <c r="E6" s="10">
        <f>Table113[[#This Row],[Comp E75 -2
Run Hours]]</f>
        <v>24</v>
      </c>
      <c r="F6" s="10">
        <f>Table113[[#This Row],[Comp E75 -3
Run Hours]]</f>
        <v>24</v>
      </c>
      <c r="G6" s="10">
        <f>Table113[[#This Row],[Comp E55 Run Hours]]</f>
        <v>0</v>
      </c>
      <c r="H6" s="13">
        <f>Table113456[[#This Row],[DG Milling Run Hours]]</f>
        <v>0</v>
      </c>
      <c r="I6" s="12">
        <f>Table113456[[#This Row],[DG Parboiling 
Run Hours]]</f>
        <v>0</v>
      </c>
      <c r="J6" s="6"/>
      <c r="K6" s="12">
        <f>Table113[[#This Row],[Comp E75 -1
Rem Hours To Service]]</f>
        <v>1708</v>
      </c>
      <c r="L6" s="12">
        <f>Table113[[#This Row],[Comp E75 -2
Rem Hours To Service]]</f>
        <v>1591</v>
      </c>
      <c r="M6" s="12">
        <f>Table113[[#This Row],[Comp E75 -3
Rem Hours To Service]]</f>
        <v>3372</v>
      </c>
      <c r="N6" s="12">
        <f>Table113[[#This Row],[Comp E55 Rem Hours To Service]]</f>
        <v>1080</v>
      </c>
      <c r="O6" s="12">
        <f>Table113456[[#This Row],[DG Parboiling 
Run Hr Meter3]]</f>
        <v>181.69999999999982</v>
      </c>
      <c r="P6" s="12">
        <f>Table113456[[#This Row],[DG Parboiling 
Run Hr Meter5]]</f>
        <v>142.39999999999964</v>
      </c>
      <c r="Q6" s="12"/>
      <c r="R6" s="12"/>
      <c r="S6" s="12"/>
      <c r="T6" s="12"/>
      <c r="U6" s="12"/>
      <c r="V6" s="12"/>
      <c r="W6" s="12"/>
      <c r="X6" s="12">
        <f>Diesel!I6</f>
        <v>37229</v>
      </c>
    </row>
    <row r="7" spans="1:24" x14ac:dyDescent="0.35">
      <c r="A7" s="4">
        <v>46207</v>
      </c>
      <c r="B7" s="20">
        <f>Table113456[[#This Row],[Main Tank
Consumption (Liters)]]</f>
        <v>861.5</v>
      </c>
      <c r="C7" s="5">
        <f>Table1135[[#This Row],[NEPA Consumption (KWH)]]</f>
        <v>5120</v>
      </c>
      <c r="D7" s="5">
        <f>Table113[[#This Row],[Comp E75 -1
Run Hours]]</f>
        <v>24</v>
      </c>
      <c r="E7" s="10">
        <f>Table113[[#This Row],[Comp E75 -2
Run Hours]]</f>
        <v>0</v>
      </c>
      <c r="F7" s="10">
        <f>Table113[[#This Row],[Comp E75 -3
Run Hours]]</f>
        <v>0</v>
      </c>
      <c r="G7" s="10">
        <f>Table113[[#This Row],[Comp E55 Run Hours]]</f>
        <v>0</v>
      </c>
      <c r="H7" s="13">
        <f>Table113456[[#This Row],[DG Milling Run Hours]]</f>
        <v>0</v>
      </c>
      <c r="I7" s="12">
        <f>Table113456[[#This Row],[DG Parboiling 
Run Hours]]</f>
        <v>0</v>
      </c>
      <c r="J7" s="6"/>
      <c r="K7" s="12">
        <f>Table113[[#This Row],[Comp E75 -1
Rem Hours To Service]]</f>
        <v>1684</v>
      </c>
      <c r="L7" s="12">
        <f>Table113[[#This Row],[Comp E75 -2
Rem Hours To Service]]</f>
        <v>1591</v>
      </c>
      <c r="M7" s="12">
        <f>Table113[[#This Row],[Comp E75 -3
Rem Hours To Service]]</f>
        <v>3372</v>
      </c>
      <c r="N7" s="12">
        <f>Table113[[#This Row],[Comp E55 Rem Hours To Service]]</f>
        <v>1080</v>
      </c>
      <c r="O7" s="12">
        <f>Table113456[[#This Row],[DG Parboiling 
Run Hr Meter3]]</f>
        <v>181.69999999999982</v>
      </c>
      <c r="P7" s="12">
        <f>Table113456[[#This Row],[DG Parboiling 
Run Hr Meter5]]</f>
        <v>142.39999999999964</v>
      </c>
      <c r="Q7" s="12"/>
      <c r="R7" s="12"/>
      <c r="S7" s="12"/>
      <c r="T7" s="12"/>
      <c r="U7" s="12"/>
      <c r="V7" s="12"/>
      <c r="W7" s="12"/>
      <c r="X7" s="12">
        <f>Diesel!I7</f>
        <v>36367.5</v>
      </c>
    </row>
    <row r="8" spans="1:24" x14ac:dyDescent="0.35">
      <c r="A8" s="4">
        <v>46208</v>
      </c>
      <c r="B8" s="20">
        <f>Table113456[[#This Row],[Main Tank
Consumption (Liters)]]</f>
        <v>0</v>
      </c>
      <c r="C8" s="5">
        <f>Table1135[[#This Row],[NEPA Consumption (KWH)]]</f>
        <v>910</v>
      </c>
      <c r="D8" s="5">
        <f>Table113[[#This Row],[Comp E75 -1
Run Hours]]</f>
        <v>0</v>
      </c>
      <c r="E8" s="10">
        <f>Table113[[#This Row],[Comp E75 -2
Run Hours]]</f>
        <v>0</v>
      </c>
      <c r="F8" s="10">
        <f>Table113[[#This Row],[Comp E75 -3
Run Hours]]</f>
        <v>0</v>
      </c>
      <c r="G8" s="10">
        <f>Table113[[#This Row],[Comp E55 Run Hours]]</f>
        <v>0</v>
      </c>
      <c r="H8" s="13">
        <f>Table113456[[#This Row],[DG Milling Run Hours]]</f>
        <v>0</v>
      </c>
      <c r="I8" s="12">
        <f>Table113456[[#This Row],[DG Parboiling 
Run Hours]]</f>
        <v>0</v>
      </c>
      <c r="J8" s="6"/>
      <c r="K8" s="12">
        <f>Table113[[#This Row],[Comp E75 -1
Rem Hours To Service]]</f>
        <v>1684</v>
      </c>
      <c r="L8" s="12">
        <f>Table113[[#This Row],[Comp E75 -2
Rem Hours To Service]]</f>
        <v>1591</v>
      </c>
      <c r="M8" s="12">
        <f>Table113[[#This Row],[Comp E75 -3
Rem Hours To Service]]</f>
        <v>3372</v>
      </c>
      <c r="N8" s="12">
        <f>Table113[[#This Row],[Comp E55 Rem Hours To Service]]</f>
        <v>1080</v>
      </c>
      <c r="O8" s="12">
        <f>Table113456[[#This Row],[DG Parboiling 
Run Hr Meter3]]</f>
        <v>181.69999999999982</v>
      </c>
      <c r="P8" s="12">
        <f>Table113456[[#This Row],[DG Parboiling 
Run Hr Meter5]]</f>
        <v>142.39999999999964</v>
      </c>
      <c r="Q8" s="12"/>
      <c r="R8" s="12"/>
      <c r="S8" s="12"/>
      <c r="T8" s="12"/>
      <c r="U8" s="12"/>
      <c r="V8" s="12"/>
      <c r="W8" s="12"/>
      <c r="X8" s="12">
        <f>Diesel!I8</f>
        <v>36357.5</v>
      </c>
    </row>
    <row r="9" spans="1:24" x14ac:dyDescent="0.35">
      <c r="A9" s="4">
        <v>46209</v>
      </c>
      <c r="B9" s="23">
        <f>Table113456[[#This Row],[Main Tank
Consumption (Liters)]]</f>
        <v>994.5</v>
      </c>
      <c r="C9" s="7">
        <f>Table1135[[#This Row],[NEPA Consumption (KWH)]]</f>
        <v>8610</v>
      </c>
      <c r="D9" s="5">
        <f>Table113[[#This Row],[Comp E75 -1
Run Hours]]</f>
        <v>9</v>
      </c>
      <c r="E9" s="10">
        <f>Table113[[#This Row],[Comp E75 -2
Run Hours]]</f>
        <v>22</v>
      </c>
      <c r="F9" s="10">
        <f>Table113[[#This Row],[Comp E75 -3
Run Hours]]</f>
        <v>14</v>
      </c>
      <c r="G9" s="10">
        <f>Table113[[#This Row],[Comp E55 Run Hours]]</f>
        <v>0</v>
      </c>
      <c r="H9" s="13">
        <f>Table113456[[#This Row],[DG Milling Run Hours]]</f>
        <v>2.6999999999998181</v>
      </c>
      <c r="I9" s="12">
        <f>Table113456[[#This Row],[DG Parboiling 
Run Hours]]</f>
        <v>2.6999999999989086</v>
      </c>
      <c r="J9" s="11"/>
      <c r="K9" s="12">
        <f>Table113[[#This Row],[Comp E75 -1
Rem Hours To Service]]</f>
        <v>1675</v>
      </c>
      <c r="L9" s="12">
        <f>Table113[[#This Row],[Comp E75 -2
Rem Hours To Service]]</f>
        <v>1569</v>
      </c>
      <c r="M9" s="12">
        <f>Table113[[#This Row],[Comp E75 -3
Rem Hours To Service]]</f>
        <v>3358</v>
      </c>
      <c r="N9" s="12">
        <f>Table113[[#This Row],[Comp E55 Rem Hours To Service]]</f>
        <v>1080</v>
      </c>
      <c r="O9" s="12">
        <f>Table113456[[#This Row],[DG Parboiling 
Run Hr Meter3]]</f>
        <v>179</v>
      </c>
      <c r="P9" s="12">
        <f>Table113456[[#This Row],[DG Parboiling 
Run Hr Meter5]]</f>
        <v>139.70000000000073</v>
      </c>
      <c r="Q9" s="12"/>
      <c r="R9" s="12"/>
      <c r="S9" s="12"/>
      <c r="T9" s="12"/>
      <c r="U9" s="12"/>
      <c r="V9" s="12"/>
      <c r="W9" s="12"/>
      <c r="X9" s="12">
        <f>Diesel!I9</f>
        <v>35373</v>
      </c>
    </row>
    <row r="10" spans="1:24" x14ac:dyDescent="0.35">
      <c r="A10" s="4">
        <v>46210</v>
      </c>
      <c r="B10" s="20">
        <f>Table113456[[#This Row],[Main Tank
Consumption (Liters)]]</f>
        <v>0</v>
      </c>
      <c r="C10" s="5">
        <f>Table1135[[#This Row],[NEPA Consumption (KWH)]]</f>
        <v>11190</v>
      </c>
      <c r="D10" s="5">
        <f>Table113[[#This Row],[Comp E75 -1
Run Hours]]</f>
        <v>0</v>
      </c>
      <c r="E10" s="10">
        <f>Table113[[#This Row],[Comp E75 -2
Run Hours]]</f>
        <v>24</v>
      </c>
      <c r="F10" s="10">
        <f>Table113[[#This Row],[Comp E75 -3
Run Hours]]</f>
        <v>23</v>
      </c>
      <c r="G10" s="10">
        <f>Table113[[#This Row],[Comp E55 Run Hours]]</f>
        <v>0</v>
      </c>
      <c r="H10" s="13">
        <f>Table113456[[#This Row],[DG Milling Run Hours]]</f>
        <v>0</v>
      </c>
      <c r="I10" s="12">
        <f>Table113456[[#This Row],[DG Parboiling 
Run Hours]]</f>
        <v>0</v>
      </c>
      <c r="J10" s="6"/>
      <c r="K10" s="12">
        <f>Table113[[#This Row],[Comp E75 -1
Rem Hours To Service]]</f>
        <v>1675</v>
      </c>
      <c r="L10" s="12">
        <f>Table113[[#This Row],[Comp E75 -2
Rem Hours To Service]]</f>
        <v>1545</v>
      </c>
      <c r="M10" s="12">
        <f>Table113[[#This Row],[Comp E75 -3
Rem Hours To Service]]</f>
        <v>3335</v>
      </c>
      <c r="N10" s="12">
        <f>Table113[[#This Row],[Comp E55 Rem Hours To Service]]</f>
        <v>1080</v>
      </c>
      <c r="O10" s="12">
        <f>Table113456[[#This Row],[DG Parboiling 
Run Hr Meter3]]</f>
        <v>179</v>
      </c>
      <c r="P10" s="12">
        <f>Table113456[[#This Row],[DG Parboiling 
Run Hr Meter5]]</f>
        <v>139.70000000000073</v>
      </c>
      <c r="Q10" s="12"/>
      <c r="R10" s="12"/>
      <c r="S10" s="12"/>
      <c r="T10" s="12"/>
      <c r="U10" s="12"/>
      <c r="V10" s="12"/>
      <c r="W10" s="12"/>
      <c r="X10" s="12">
        <f>Diesel!I10</f>
        <v>35373</v>
      </c>
    </row>
    <row r="11" spans="1:24" x14ac:dyDescent="0.35">
      <c r="A11" s="4">
        <v>46211</v>
      </c>
      <c r="B11" s="20">
        <f>Table113456[[#This Row],[Main Tank
Consumption (Liters)]]</f>
        <v>0</v>
      </c>
      <c r="C11" s="5">
        <f>Table1135[[#This Row],[NEPA Consumption (KWH)]]</f>
        <v>9910</v>
      </c>
      <c r="D11" s="5">
        <f>Table113[[#This Row],[Comp E75 -1
Run Hours]]</f>
        <v>23</v>
      </c>
      <c r="E11" s="10">
        <f>Table113[[#This Row],[Comp E75 -2
Run Hours]]</f>
        <v>0</v>
      </c>
      <c r="F11" s="10">
        <f>Table113[[#This Row],[Comp E75 -3
Run Hours]]</f>
        <v>23</v>
      </c>
      <c r="G11" s="10">
        <f>Table113[[#This Row],[Comp E55 Run Hours]]</f>
        <v>0</v>
      </c>
      <c r="H11" s="13">
        <f>Table113456[[#This Row],[DG Milling Run Hours]]</f>
        <v>0</v>
      </c>
      <c r="I11" s="12">
        <f>Table113456[[#This Row],[DG Parboiling 
Run Hours]]</f>
        <v>0</v>
      </c>
      <c r="J11" s="6"/>
      <c r="K11" s="12">
        <f>Table113[[#This Row],[Comp E75 -1
Rem Hours To Service]]</f>
        <v>1652</v>
      </c>
      <c r="L11" s="12">
        <f>Table113[[#This Row],[Comp E75 -2
Rem Hours To Service]]</f>
        <v>1545</v>
      </c>
      <c r="M11" s="12">
        <f>Table113[[#This Row],[Comp E75 -3
Rem Hours To Service]]</f>
        <v>3312</v>
      </c>
      <c r="N11" s="12">
        <f>Table113[[#This Row],[Comp E55 Rem Hours To Service]]</f>
        <v>1080</v>
      </c>
      <c r="O11" s="12">
        <f>Table113456[[#This Row],[DG Parboiling 
Run Hr Meter3]]</f>
        <v>179</v>
      </c>
      <c r="P11" s="12">
        <f>Table113456[[#This Row],[DG Parboiling 
Run Hr Meter5]]</f>
        <v>139.70000000000073</v>
      </c>
      <c r="Q11" s="12"/>
      <c r="R11" s="12"/>
      <c r="S11" s="12"/>
      <c r="T11" s="12"/>
      <c r="U11" s="12"/>
      <c r="V11" s="12"/>
      <c r="W11" s="12"/>
      <c r="X11" s="12">
        <f>Diesel!I11</f>
        <v>35373</v>
      </c>
    </row>
    <row r="12" spans="1:24" x14ac:dyDescent="0.35">
      <c r="A12" s="4">
        <v>46212</v>
      </c>
      <c r="B12" s="20">
        <f>Table113456[[#This Row],[Main Tank
Consumption (Liters)]]</f>
        <v>0</v>
      </c>
      <c r="C12" s="5">
        <f>Table1135[[#This Row],[NEPA Consumption (KWH)]]</f>
        <v>8550</v>
      </c>
      <c r="D12" s="5">
        <f>Table113[[#This Row],[Comp E75 -1
Run Hours]]</f>
        <v>24</v>
      </c>
      <c r="E12" s="10">
        <f>Table113[[#This Row],[Comp E75 -2
Run Hours]]</f>
        <v>24</v>
      </c>
      <c r="F12" s="10">
        <f>Table113[[#This Row],[Comp E75 -3
Run Hours]]</f>
        <v>0</v>
      </c>
      <c r="G12" s="10">
        <f>Table113[[#This Row],[Comp E55 Run Hours]]</f>
        <v>0</v>
      </c>
      <c r="H12" s="13">
        <f>Table113456[[#This Row],[DG Milling Run Hours]]</f>
        <v>0</v>
      </c>
      <c r="I12" s="12">
        <f>Table113456[[#This Row],[DG Parboiling 
Run Hours]]</f>
        <v>0</v>
      </c>
      <c r="J12" s="6"/>
      <c r="K12" s="12">
        <f>Table113[[#This Row],[Comp E75 -1
Rem Hours To Service]]</f>
        <v>1628</v>
      </c>
      <c r="L12" s="12">
        <f>Table113[[#This Row],[Comp E75 -2
Rem Hours To Service]]</f>
        <v>1521</v>
      </c>
      <c r="M12" s="12">
        <f>Table113[[#This Row],[Comp E75 -3
Rem Hours To Service]]</f>
        <v>3312</v>
      </c>
      <c r="N12" s="12">
        <f>Table113[[#This Row],[Comp E55 Rem Hours To Service]]</f>
        <v>1080</v>
      </c>
      <c r="O12" s="12">
        <f>Table113456[[#This Row],[DG Parboiling 
Run Hr Meter3]]</f>
        <v>179</v>
      </c>
      <c r="P12" s="12">
        <f>Table113456[[#This Row],[DG Parboiling 
Run Hr Meter5]]</f>
        <v>139.70000000000073</v>
      </c>
      <c r="Q12" s="12"/>
      <c r="R12" s="12"/>
      <c r="S12" s="12"/>
      <c r="T12" s="12"/>
      <c r="U12" s="12"/>
      <c r="V12" s="12"/>
      <c r="W12" s="12"/>
      <c r="X12" s="12">
        <f>Diesel!I12</f>
        <v>35363</v>
      </c>
    </row>
    <row r="13" spans="1:24" x14ac:dyDescent="0.35">
      <c r="A13" s="4">
        <v>46213</v>
      </c>
      <c r="B13" s="20">
        <f>Table113456[[#This Row],[Main Tank
Consumption (Liters)]]</f>
        <v>361</v>
      </c>
      <c r="C13" s="5">
        <f>Table1135[[#This Row],[NEPA Consumption (KWH)]]</f>
        <v>4770</v>
      </c>
      <c r="D13" s="5">
        <f>Table113[[#This Row],[Comp E75 -1
Run Hours]]</f>
        <v>0</v>
      </c>
      <c r="E13" s="10">
        <f>Table113[[#This Row],[Comp E75 -2
Run Hours]]</f>
        <v>0</v>
      </c>
      <c r="F13" s="10">
        <f>Table113[[#This Row],[Comp E75 -3
Run Hours]]</f>
        <v>24</v>
      </c>
      <c r="G13" s="10">
        <f>Table113[[#This Row],[Comp E55 Run Hours]]</f>
        <v>0</v>
      </c>
      <c r="H13" s="13">
        <f>Table113456[[#This Row],[DG Milling Run Hours]]</f>
        <v>1.1999999999998181</v>
      </c>
      <c r="I13" s="12">
        <f>Table113456[[#This Row],[DG Parboiling 
Run Hours]]</f>
        <v>1.1000000000003638</v>
      </c>
      <c r="J13" s="6"/>
      <c r="K13" s="12">
        <f>Table113[[#This Row],[Comp E75 -1
Rem Hours To Service]]</f>
        <v>1628</v>
      </c>
      <c r="L13" s="12">
        <f>Table113[[#This Row],[Comp E75 -2
Rem Hours To Service]]</f>
        <v>1521</v>
      </c>
      <c r="M13" s="12">
        <f>Table113[[#This Row],[Comp E75 -3
Rem Hours To Service]]</f>
        <v>3288</v>
      </c>
      <c r="N13" s="12">
        <f>Table113[[#This Row],[Comp E55 Rem Hours To Service]]</f>
        <v>1080</v>
      </c>
      <c r="O13" s="12">
        <f>Table113456[[#This Row],[DG Parboiling 
Run Hr Meter3]]</f>
        <v>177.80000000000018</v>
      </c>
      <c r="P13" s="12">
        <f>Table113456[[#This Row],[DG Parboiling 
Run Hr Meter5]]</f>
        <v>138.60000000000036</v>
      </c>
      <c r="Q13" s="12"/>
      <c r="R13" s="12"/>
      <c r="S13" s="12"/>
      <c r="T13" s="12"/>
      <c r="U13" s="12"/>
      <c r="V13" s="12"/>
      <c r="W13" s="12"/>
      <c r="X13" s="12">
        <f>Diesel!I13</f>
        <v>50210</v>
      </c>
    </row>
    <row r="14" spans="1:24" x14ac:dyDescent="0.35">
      <c r="A14" s="4">
        <v>46214</v>
      </c>
      <c r="B14" s="20">
        <f>Table113456[[#This Row],[Main Tank
Consumption (Liters)]]</f>
        <v>219.5</v>
      </c>
      <c r="C14" s="5">
        <f>Table1135[[#This Row],[NEPA Consumption (KWH)]]</f>
        <v>4980</v>
      </c>
      <c r="D14" s="5">
        <f>Table113[[#This Row],[Comp E75 -1
Run Hours]]</f>
        <v>0</v>
      </c>
      <c r="E14" s="10">
        <f>Table113[[#This Row],[Comp E75 -2
Run Hours]]</f>
        <v>14</v>
      </c>
      <c r="F14" s="10">
        <f>Table113[[#This Row],[Comp E75 -3
Run Hours]]</f>
        <v>0</v>
      </c>
      <c r="G14" s="10">
        <f>Table113[[#This Row],[Comp E55 Run Hours]]</f>
        <v>11</v>
      </c>
      <c r="H14" s="13">
        <f>Table113456[[#This Row],[DG Milling Run Hours]]</f>
        <v>0</v>
      </c>
      <c r="I14" s="12">
        <f>Table113456[[#This Row],[DG Parboiling 
Run Hours]]</f>
        <v>2.1000000000003638</v>
      </c>
      <c r="J14" s="6"/>
      <c r="K14" s="12">
        <f>Table113[[#This Row],[Comp E75 -1
Rem Hours To Service]]</f>
        <v>1628</v>
      </c>
      <c r="L14" s="12">
        <f>Table113[[#This Row],[Comp E75 -2
Rem Hours To Service]]</f>
        <v>1507</v>
      </c>
      <c r="M14" s="12">
        <f>Table113[[#This Row],[Comp E75 -3
Rem Hours To Service]]</f>
        <v>3288</v>
      </c>
      <c r="N14" s="12">
        <f>Table113[[#This Row],[Comp E55 Rem Hours To Service]]</f>
        <v>1069</v>
      </c>
      <c r="O14" s="12">
        <f>Table113456[[#This Row],[DG Parboiling 
Run Hr Meter3]]</f>
        <v>177.80000000000018</v>
      </c>
      <c r="P14" s="12">
        <f>Table113456[[#This Row],[DG Parboiling 
Run Hr Meter5]]</f>
        <v>136.5</v>
      </c>
      <c r="Q14" s="12"/>
      <c r="R14" s="12"/>
      <c r="S14" s="12"/>
      <c r="T14" s="12"/>
      <c r="U14" s="12"/>
      <c r="V14" s="12"/>
      <c r="W14" s="12"/>
      <c r="X14" s="12">
        <f>Diesel!I14</f>
        <v>49990.5</v>
      </c>
    </row>
    <row r="15" spans="1:24" x14ac:dyDescent="0.35">
      <c r="A15" s="4">
        <v>46215</v>
      </c>
      <c r="B15" s="20">
        <f>Table113456[[#This Row],[Main Tank
Consumption (Liters)]]</f>
        <v>715.5</v>
      </c>
      <c r="C15" s="5">
        <f>Table1135[[#This Row],[NEPA Consumption (KWH)]]</f>
        <v>3140</v>
      </c>
      <c r="D15" s="5">
        <f>Table113[[#This Row],[Comp E75 -1
Run Hours]]</f>
        <v>0</v>
      </c>
      <c r="E15" s="10">
        <f>Table113[[#This Row],[Comp E75 -2
Run Hours]]</f>
        <v>0</v>
      </c>
      <c r="F15" s="10">
        <f>Table113[[#This Row],[Comp E75 -3
Run Hours]]</f>
        <v>0</v>
      </c>
      <c r="G15" s="10">
        <f>Table113[[#This Row],[Comp E55 Run Hours]]</f>
        <v>24</v>
      </c>
      <c r="H15" s="13">
        <f>Table113456[[#This Row],[DG Milling Run Hours]]</f>
        <v>0</v>
      </c>
      <c r="I15" s="12">
        <f>Table113456[[#This Row],[DG Parboiling 
Run Hours]]</f>
        <v>5.8999999999996362</v>
      </c>
      <c r="J15" s="6"/>
      <c r="K15" s="12">
        <f>Table113[[#This Row],[Comp E75 -1
Rem Hours To Service]]</f>
        <v>1628</v>
      </c>
      <c r="L15" s="12">
        <f>Table113[[#This Row],[Comp E75 -2
Rem Hours To Service]]</f>
        <v>1507</v>
      </c>
      <c r="M15" s="12">
        <f>Table113[[#This Row],[Comp E75 -3
Rem Hours To Service]]</f>
        <v>3288</v>
      </c>
      <c r="N15" s="12">
        <f>Table113[[#This Row],[Comp E55 Rem Hours To Service]]</f>
        <v>1045</v>
      </c>
      <c r="O15" s="12">
        <f>Table113456[[#This Row],[DG Parboiling 
Run Hr Meter3]]</f>
        <v>177.80000000000018</v>
      </c>
      <c r="P15" s="12">
        <f>Table113456[[#This Row],[DG Parboiling 
Run Hr Meter5]]</f>
        <v>130.60000000000036</v>
      </c>
      <c r="Q15" s="12"/>
      <c r="R15" s="12"/>
      <c r="S15" s="12"/>
      <c r="T15" s="12"/>
      <c r="U15" s="12"/>
      <c r="V15" s="12"/>
      <c r="W15" s="12"/>
      <c r="X15" s="12">
        <f>Diesel!I15</f>
        <v>49275</v>
      </c>
    </row>
    <row r="16" spans="1:24" x14ac:dyDescent="0.35">
      <c r="A16" s="4">
        <v>46216</v>
      </c>
      <c r="B16" s="20">
        <f>Table113456[[#This Row],[Main Tank
Consumption (Liters)]]</f>
        <v>0</v>
      </c>
      <c r="C16" s="5">
        <f>Table1135[[#This Row],[NEPA Consumption (KWH)]]</f>
        <v>10850</v>
      </c>
      <c r="D16" s="5">
        <f>Table113[[#This Row],[Comp E75 -1
Run Hours]]</f>
        <v>21</v>
      </c>
      <c r="E16" s="10">
        <f>Table113[[#This Row],[Comp E75 -2
Run Hours]]</f>
        <v>23</v>
      </c>
      <c r="F16" s="10">
        <f>Table113[[#This Row],[Comp E75 -3
Run Hours]]</f>
        <v>0</v>
      </c>
      <c r="G16" s="10">
        <f>Table113[[#This Row],[Comp E55 Run Hours]]</f>
        <v>0</v>
      </c>
      <c r="H16" s="13">
        <f>Table113456[[#This Row],[DG Milling Run Hours]]</f>
        <v>0</v>
      </c>
      <c r="I16" s="12">
        <f>Table113456[[#This Row],[DG Parboiling 
Run Hours]]</f>
        <v>0</v>
      </c>
      <c r="J16" s="6"/>
      <c r="K16" s="12">
        <f>Table113[[#This Row],[Comp E75 -1
Rem Hours To Service]]</f>
        <v>1607</v>
      </c>
      <c r="L16" s="12">
        <f>Table113[[#This Row],[Comp E75 -2
Rem Hours To Service]]</f>
        <v>1484</v>
      </c>
      <c r="M16" s="12">
        <f>Table113[[#This Row],[Comp E75 -3
Rem Hours To Service]]</f>
        <v>3288</v>
      </c>
      <c r="N16" s="12">
        <f>Table113[[#This Row],[Comp E55 Rem Hours To Service]]</f>
        <v>1045</v>
      </c>
      <c r="O16" s="12">
        <f>Table113456[[#This Row],[DG Parboiling 
Run Hr Meter3]]</f>
        <v>177.80000000000018</v>
      </c>
      <c r="P16" s="12">
        <f>Table113456[[#This Row],[DG Parboiling 
Run Hr Meter5]]</f>
        <v>130.60000000000036</v>
      </c>
      <c r="Q16" s="12"/>
      <c r="R16" s="12"/>
      <c r="S16" s="12"/>
      <c r="T16" s="12"/>
      <c r="U16" s="12"/>
      <c r="V16" s="12"/>
      <c r="W16" s="12"/>
      <c r="X16" s="12">
        <f>Diesel!I16</f>
        <v>49175</v>
      </c>
    </row>
    <row r="17" spans="1:24" x14ac:dyDescent="0.35">
      <c r="A17" s="4">
        <v>46217</v>
      </c>
      <c r="B17" s="20">
        <f>Table113456[[#This Row],[Main Tank
Consumption (Liters)]]</f>
        <v>865.5</v>
      </c>
      <c r="C17" s="5">
        <f>Table1135[[#This Row],[NEPA Consumption (KWH)]]</f>
        <v>9800</v>
      </c>
      <c r="D17" s="5">
        <f>Table113[[#This Row],[Comp E75 -1
Run Hours]]</f>
        <v>0</v>
      </c>
      <c r="E17" s="10">
        <f>Table113[[#This Row],[Comp E75 -2
Run Hours]]</f>
        <v>24</v>
      </c>
      <c r="F17" s="10">
        <f>Table113[[#This Row],[Comp E75 -3
Run Hours]]</f>
        <v>22</v>
      </c>
      <c r="G17" s="10">
        <f>Table113[[#This Row],[Comp E55 Run Hours]]</f>
        <v>0</v>
      </c>
      <c r="H17" s="13">
        <f>Table113456[[#This Row],[DG Milling Run Hours]]</f>
        <v>3.5</v>
      </c>
      <c r="I17" s="12">
        <f>Table113456[[#This Row],[DG Parboiling 
Run Hours]]</f>
        <v>3.5</v>
      </c>
      <c r="J17" s="6"/>
      <c r="K17" s="12">
        <f>Table113[[#This Row],[Comp E75 -1
Rem Hours To Service]]</f>
        <v>1607</v>
      </c>
      <c r="L17" s="12">
        <f>Table113[[#This Row],[Comp E75 -2
Rem Hours To Service]]</f>
        <v>1460</v>
      </c>
      <c r="M17" s="12">
        <f>Table113[[#This Row],[Comp E75 -3
Rem Hours To Service]]</f>
        <v>3266</v>
      </c>
      <c r="N17" s="12">
        <f>Table113[[#This Row],[Comp E55 Rem Hours To Service]]</f>
        <v>1045</v>
      </c>
      <c r="O17" s="12">
        <f>Table113456[[#This Row],[DG Parboiling 
Run Hr Meter3]]</f>
        <v>174.30000000000018</v>
      </c>
      <c r="P17" s="12">
        <f>Table113456[[#This Row],[DG Parboiling 
Run Hr Meter5]]</f>
        <v>127.10000000000036</v>
      </c>
      <c r="Q17" s="12"/>
      <c r="R17" s="12"/>
      <c r="S17" s="12"/>
      <c r="T17" s="12"/>
      <c r="U17" s="12"/>
      <c r="V17" s="12"/>
      <c r="W17" s="12"/>
      <c r="X17" s="12">
        <f>Diesel!I17</f>
        <v>48409.5</v>
      </c>
    </row>
    <row r="18" spans="1:24" x14ac:dyDescent="0.35">
      <c r="A18" s="4">
        <v>46218</v>
      </c>
      <c r="B18" s="20">
        <f>Table113456[[#This Row],[Main Tank
Consumption (Liters)]]</f>
        <v>0</v>
      </c>
      <c r="C18" s="5">
        <f>Table1135[[#This Row],[NEPA Consumption (KWH)]]</f>
        <v>11640</v>
      </c>
      <c r="D18" s="5">
        <f>Table113[[#This Row],[Comp E75 -1
Run Hours]]</f>
        <v>24</v>
      </c>
      <c r="E18" s="10">
        <f>Table113[[#This Row],[Comp E75 -2
Run Hours]]</f>
        <v>0</v>
      </c>
      <c r="F18" s="10">
        <f>Table113[[#This Row],[Comp E75 -3
Run Hours]]</f>
        <v>24</v>
      </c>
      <c r="G18" s="10">
        <f>Table113[[#This Row],[Comp E55 Run Hours]]</f>
        <v>0</v>
      </c>
      <c r="H18" s="13">
        <f>Table113456[[#This Row],[DG Milling Run Hours]]</f>
        <v>0</v>
      </c>
      <c r="I18" s="12">
        <f>Table113456[[#This Row],[DG Parboiling 
Run Hours]]</f>
        <v>0</v>
      </c>
      <c r="J18" s="6"/>
      <c r="K18" s="12">
        <f>Table113[[#This Row],[Comp E75 -1
Rem Hours To Service]]</f>
        <v>1583</v>
      </c>
      <c r="L18" s="12">
        <f>Table113[[#This Row],[Comp E75 -2
Rem Hours To Service]]</f>
        <v>1460</v>
      </c>
      <c r="M18" s="12">
        <f>Table113[[#This Row],[Comp E75 -3
Rem Hours To Service]]</f>
        <v>3242</v>
      </c>
      <c r="N18" s="12">
        <f>Table113[[#This Row],[Comp E55 Rem Hours To Service]]</f>
        <v>1045</v>
      </c>
      <c r="O18" s="12">
        <f>Table113456[[#This Row],[DG Parboiling 
Run Hr Meter3]]</f>
        <v>174.30000000000018</v>
      </c>
      <c r="P18" s="12">
        <f>Table113456[[#This Row],[DG Parboiling 
Run Hr Meter5]]</f>
        <v>127.10000000000036</v>
      </c>
      <c r="Q18" s="12"/>
      <c r="R18" s="12"/>
      <c r="S18" s="12"/>
      <c r="T18" s="12"/>
      <c r="U18" s="12"/>
      <c r="V18" s="12"/>
      <c r="W18" s="12"/>
      <c r="X18" s="12">
        <f>Diesel!I18</f>
        <v>48234.5</v>
      </c>
    </row>
    <row r="19" spans="1:24" x14ac:dyDescent="0.35">
      <c r="A19" s="4">
        <v>46219</v>
      </c>
      <c r="B19" s="20">
        <f>Table113456[[#This Row],[Main Tank
Consumption (Liters)]]</f>
        <v>1253.5</v>
      </c>
      <c r="C19" s="5">
        <f>Table1135[[#This Row],[NEPA Consumption (KWH)]]</f>
        <v>9760</v>
      </c>
      <c r="D19" s="5">
        <f>Table113[[#This Row],[Comp E75 -1
Run Hours]]</f>
        <v>23</v>
      </c>
      <c r="E19" s="10">
        <f>Table113[[#This Row],[Comp E75 -2
Run Hours]]</f>
        <v>24</v>
      </c>
      <c r="F19" s="10">
        <f>Table113[[#This Row],[Comp E75 -3
Run Hours]]</f>
        <v>0</v>
      </c>
      <c r="G19" s="10">
        <f>Table113[[#This Row],[Comp E55 Run Hours]]</f>
        <v>1</v>
      </c>
      <c r="H19" s="13">
        <f>Table113456[[#This Row],[DG Milling Run Hours]]</f>
        <v>2.1000000000003638</v>
      </c>
      <c r="I19" s="12">
        <f>Table113456[[#This Row],[DG Parboiling 
Run Hours]]</f>
        <v>2.1000000000003638</v>
      </c>
      <c r="J19" s="6"/>
      <c r="K19" s="12">
        <f>Table113[[#This Row],[Comp E75 -1
Rem Hours To Service]]</f>
        <v>1560</v>
      </c>
      <c r="L19" s="12">
        <f>Table113[[#This Row],[Comp E75 -2
Rem Hours To Service]]</f>
        <v>1436</v>
      </c>
      <c r="M19" s="12">
        <f>Table113[[#This Row],[Comp E75 -3
Rem Hours To Service]]</f>
        <v>3242</v>
      </c>
      <c r="N19" s="12">
        <f>Table113[[#This Row],[Comp E55 Rem Hours To Service]]</f>
        <v>1044</v>
      </c>
      <c r="O19" s="12">
        <f>Table113456[[#This Row],[DG Parboiling 
Run Hr Meter3]]</f>
        <v>172.19999999999982</v>
      </c>
      <c r="P19" s="12">
        <f>Table113456[[#This Row],[DG Parboiling 
Run Hr Meter5]]</f>
        <v>125</v>
      </c>
      <c r="Q19" s="12"/>
      <c r="R19" s="12"/>
      <c r="S19" s="12"/>
      <c r="T19" s="12"/>
      <c r="U19" s="12"/>
      <c r="V19" s="12"/>
      <c r="W19" s="12"/>
      <c r="X19" s="12">
        <f>Diesel!I19</f>
        <v>47156</v>
      </c>
    </row>
    <row r="20" spans="1:24" x14ac:dyDescent="0.35">
      <c r="A20" s="4">
        <v>46220</v>
      </c>
      <c r="B20" s="20">
        <f>Table113456[[#This Row],[Main Tank
Consumption (Liters)]]</f>
        <v>644</v>
      </c>
      <c r="C20" s="5">
        <f>Table1135[[#This Row],[NEPA Consumption (KWH)]]</f>
        <v>8830</v>
      </c>
      <c r="D20" s="5">
        <f>Table113[[#This Row],[Comp E75 -1
Run Hours]]</f>
        <v>0</v>
      </c>
      <c r="E20" s="10">
        <f>Table113[[#This Row],[Comp E75 -2
Run Hours]]</f>
        <v>22</v>
      </c>
      <c r="F20" s="10">
        <f>Table113[[#This Row],[Comp E75 -3
Run Hours]]</f>
        <v>23</v>
      </c>
      <c r="G20" s="10">
        <f>Table113[[#This Row],[Comp E55 Run Hours]]</f>
        <v>0</v>
      </c>
      <c r="H20" s="13">
        <f>Table113456[[#This Row],[DG Milling Run Hours]]</f>
        <v>2.8000000000001819</v>
      </c>
      <c r="I20" s="12">
        <f>Table113456[[#This Row],[DG Parboiling 
Run Hours]]</f>
        <v>2.7999999999992724</v>
      </c>
      <c r="J20" s="6"/>
      <c r="K20" s="12">
        <f>Table113[[#This Row],[Comp E75 -1
Rem Hours To Service]]</f>
        <v>1560</v>
      </c>
      <c r="L20" s="12">
        <f>Table113[[#This Row],[Comp E75 -2
Rem Hours To Service]]</f>
        <v>1414</v>
      </c>
      <c r="M20" s="12">
        <f>Table113[[#This Row],[Comp E75 -3
Rem Hours To Service]]</f>
        <v>3219</v>
      </c>
      <c r="N20" s="12">
        <f>Table113[[#This Row],[Comp E55 Rem Hours To Service]]</f>
        <v>1044</v>
      </c>
      <c r="O20" s="12">
        <f>Table113456[[#This Row],[DG Parboiling 
Run Hr Meter3]]</f>
        <v>169.39999999999964</v>
      </c>
      <c r="P20" s="12">
        <f>Table113456[[#This Row],[DG Parboiling 
Run Hr Meter5]]</f>
        <v>122.20000000000073</v>
      </c>
      <c r="Q20" s="12"/>
      <c r="R20" s="12"/>
      <c r="S20" s="12"/>
      <c r="T20" s="12"/>
      <c r="U20" s="12"/>
      <c r="V20" s="12"/>
      <c r="W20" s="12"/>
      <c r="X20" s="12">
        <f>Diesel!I20</f>
        <v>46512</v>
      </c>
    </row>
    <row r="21" spans="1:24" x14ac:dyDescent="0.35">
      <c r="A21" s="4">
        <v>46221</v>
      </c>
      <c r="B21" s="20">
        <f>Table113456[[#This Row],[Main Tank
Consumption (Liters)]]</f>
        <v>0</v>
      </c>
      <c r="C21" s="5">
        <f>Table1135[[#This Row],[NEPA Consumption (KWH)]]</f>
        <v>3690</v>
      </c>
      <c r="D21" s="5">
        <f>Table113[[#This Row],[Comp E75 -1
Run Hours]]</f>
        <v>2</v>
      </c>
      <c r="E21" s="10">
        <f>Table113[[#This Row],[Comp E75 -2
Run Hours]]</f>
        <v>0</v>
      </c>
      <c r="F21" s="10">
        <f>Table113[[#This Row],[Comp E75 -3
Run Hours]]</f>
        <v>24</v>
      </c>
      <c r="G21" s="10">
        <f>Table113[[#This Row],[Comp E55 Run Hours]]</f>
        <v>0</v>
      </c>
      <c r="H21" s="13">
        <f>Table113456[[#This Row],[DG Milling Run Hours]]</f>
        <v>0</v>
      </c>
      <c r="I21" s="12">
        <f>Table113456[[#This Row],[DG Parboiling 
Run Hours]]</f>
        <v>0</v>
      </c>
      <c r="J21" s="6"/>
      <c r="K21" s="12">
        <f>Table113[[#This Row],[Comp E75 -1
Rem Hours To Service]]</f>
        <v>1558</v>
      </c>
      <c r="L21" s="12">
        <f>Table113[[#This Row],[Comp E75 -2
Rem Hours To Service]]</f>
        <v>1414</v>
      </c>
      <c r="M21" s="12">
        <f>Table113[[#This Row],[Comp E75 -3
Rem Hours To Service]]</f>
        <v>3195</v>
      </c>
      <c r="N21" s="12">
        <f>Table113[[#This Row],[Comp E55 Rem Hours To Service]]</f>
        <v>1044</v>
      </c>
      <c r="O21" s="12">
        <f>Table113456[[#This Row],[DG Parboiling 
Run Hr Meter3]]</f>
        <v>169.39999999999964</v>
      </c>
      <c r="P21" s="12">
        <f>Table113456[[#This Row],[DG Parboiling 
Run Hr Meter5]]</f>
        <v>122.20000000000073</v>
      </c>
      <c r="Q21" s="12"/>
      <c r="R21" s="12"/>
      <c r="S21" s="12"/>
      <c r="T21" s="12"/>
      <c r="U21" s="12"/>
      <c r="V21" s="12"/>
      <c r="W21" s="12"/>
      <c r="X21" s="12">
        <f>Diesel!I21</f>
        <v>46512</v>
      </c>
    </row>
    <row r="22" spans="1:24" x14ac:dyDescent="0.35">
      <c r="A22" s="4">
        <v>46222</v>
      </c>
      <c r="B22" s="20">
        <f>Table113456[[#This Row],[Main Tank
Consumption (Liters)]]</f>
        <v>0</v>
      </c>
      <c r="C22" s="5">
        <f>Table1135[[#This Row],[NEPA Consumption (KWH)]]</f>
        <v>790</v>
      </c>
      <c r="D22" s="5">
        <f>Table113[[#This Row],[Comp E75 -1
Run Hours]]</f>
        <v>0</v>
      </c>
      <c r="E22" s="10">
        <f>Table113[[#This Row],[Comp E75 -2
Run Hours]]</f>
        <v>0</v>
      </c>
      <c r="F22" s="10">
        <f>Table113[[#This Row],[Comp E75 -3
Run Hours]]</f>
        <v>0</v>
      </c>
      <c r="G22" s="10">
        <f>Table113[[#This Row],[Comp E55 Run Hours]]</f>
        <v>0</v>
      </c>
      <c r="H22" s="13">
        <f>Table113456[[#This Row],[DG Milling Run Hours]]</f>
        <v>0</v>
      </c>
      <c r="I22" s="12">
        <f>Table113456[[#This Row],[DG Parboiling 
Run Hours]]</f>
        <v>0</v>
      </c>
      <c r="J22" s="6"/>
      <c r="K22" s="12">
        <f>Table113[[#This Row],[Comp E75 -1
Rem Hours To Service]]</f>
        <v>1558</v>
      </c>
      <c r="L22" s="12">
        <f>Table113[[#This Row],[Comp E75 -2
Rem Hours To Service]]</f>
        <v>1414</v>
      </c>
      <c r="M22" s="12">
        <f>Table113[[#This Row],[Comp E75 -3
Rem Hours To Service]]</f>
        <v>3195</v>
      </c>
      <c r="N22" s="12">
        <f>Table113[[#This Row],[Comp E55 Rem Hours To Service]]</f>
        <v>1044</v>
      </c>
      <c r="O22" s="12">
        <f>Table113456[[#This Row],[DG Parboiling 
Run Hr Meter3]]</f>
        <v>169.39999999999964</v>
      </c>
      <c r="P22" s="12">
        <f>Table113456[[#This Row],[DG Parboiling 
Run Hr Meter5]]</f>
        <v>122.20000000000073</v>
      </c>
      <c r="Q22" s="12"/>
      <c r="R22" s="12"/>
      <c r="S22" s="12"/>
      <c r="T22" s="12"/>
      <c r="U22" s="12"/>
      <c r="V22" s="12"/>
      <c r="W22" s="12"/>
      <c r="X22" s="12">
        <f>Diesel!I22</f>
        <v>46512</v>
      </c>
    </row>
    <row r="23" spans="1:24" x14ac:dyDescent="0.35">
      <c r="A23" s="4">
        <v>46223</v>
      </c>
      <c r="B23" s="20">
        <f>Table113456[[#This Row],[Main Tank
Consumption (Liters)]]</f>
        <v>188</v>
      </c>
      <c r="C23" s="5">
        <f>Table1135[[#This Row],[NEPA Consumption (KWH)]]</f>
        <v>9210</v>
      </c>
      <c r="D23" s="5">
        <f>Table113[[#This Row],[Comp E75 -1
Run Hours]]</f>
        <v>22</v>
      </c>
      <c r="E23" s="10">
        <f>Table113[[#This Row],[Comp E75 -2
Run Hours]]</f>
        <v>24</v>
      </c>
      <c r="F23" s="10">
        <f>Table113[[#This Row],[Comp E75 -3
Run Hours]]</f>
        <v>0</v>
      </c>
      <c r="G23" s="10">
        <f>Table113[[#This Row],[Comp E55 Run Hours]]</f>
        <v>0</v>
      </c>
      <c r="H23" s="13">
        <f>Table113456[[#This Row],[DG Milling Run Hours]]</f>
        <v>0.8999999999996362</v>
      </c>
      <c r="I23" s="12">
        <f>Table113456[[#This Row],[DG Parboiling 
Run Hours]]</f>
        <v>0.90000000000145519</v>
      </c>
      <c r="J23" s="6"/>
      <c r="K23" s="12">
        <f>Table113[[#This Row],[Comp E75 -1
Rem Hours To Service]]</f>
        <v>1536</v>
      </c>
      <c r="L23" s="12">
        <f>Table113[[#This Row],[Comp E75 -2
Rem Hours To Service]]</f>
        <v>1390</v>
      </c>
      <c r="M23" s="12">
        <f>Table113[[#This Row],[Comp E75 -3
Rem Hours To Service]]</f>
        <v>3195</v>
      </c>
      <c r="N23" s="12">
        <f>Table113[[#This Row],[Comp E55 Rem Hours To Service]]</f>
        <v>1044</v>
      </c>
      <c r="O23" s="12">
        <f>Table113456[[#This Row],[DG Parboiling 
Run Hr Meter3]]</f>
        <v>168.5</v>
      </c>
      <c r="P23" s="12">
        <f>Table113456[[#This Row],[DG Parboiling 
Run Hr Meter5]]</f>
        <v>121.29999999999927</v>
      </c>
      <c r="Q23" s="12"/>
      <c r="R23" s="12"/>
      <c r="S23" s="12"/>
      <c r="T23" s="12"/>
      <c r="U23" s="12"/>
      <c r="V23" s="12"/>
      <c r="W23" s="12"/>
      <c r="X23" s="12">
        <f>Diesel!I23</f>
        <v>46324</v>
      </c>
    </row>
    <row r="24" spans="1:24" x14ac:dyDescent="0.35">
      <c r="A24" s="4">
        <v>46224</v>
      </c>
      <c r="B24" s="20">
        <f>Table113456[[#This Row],[Main Tank
Consumption (Liters)]]</f>
        <v>256</v>
      </c>
      <c r="C24" s="5">
        <f>Table1135[[#This Row],[NEPA Consumption (KWH)]]</f>
        <v>9390</v>
      </c>
      <c r="D24" s="5">
        <f>Table113[[#This Row],[Comp E75 -1
Run Hours]]</f>
        <v>0</v>
      </c>
      <c r="E24" s="10">
        <f>Table113[[#This Row],[Comp E75 -2
Run Hours]]</f>
        <v>24</v>
      </c>
      <c r="F24" s="10">
        <f>Table113[[#This Row],[Comp E75 -3
Run Hours]]</f>
        <v>23</v>
      </c>
      <c r="G24" s="10">
        <f>Table113[[#This Row],[Comp E55 Run Hours]]</f>
        <v>0</v>
      </c>
      <c r="H24" s="13">
        <f>Table113456[[#This Row],[DG Milling Run Hours]]</f>
        <v>1.1000000000003638</v>
      </c>
      <c r="I24" s="12">
        <f>Table113456[[#This Row],[DG Parboiling 
Run Hours]]</f>
        <v>1.0999999999985448</v>
      </c>
      <c r="J24" s="6"/>
      <c r="K24" s="12">
        <f>Table113[[#This Row],[Comp E75 -1
Rem Hours To Service]]</f>
        <v>1536</v>
      </c>
      <c r="L24" s="12">
        <f>Table113[[#This Row],[Comp E75 -2
Rem Hours To Service]]</f>
        <v>1366</v>
      </c>
      <c r="M24" s="12">
        <f>Table113[[#This Row],[Comp E75 -3
Rem Hours To Service]]</f>
        <v>3172</v>
      </c>
      <c r="N24" s="12">
        <f>Table113[[#This Row],[Comp E55 Rem Hours To Service]]</f>
        <v>1044</v>
      </c>
      <c r="O24" s="12">
        <f>Table113456[[#This Row],[DG Parboiling 
Run Hr Meter3]]</f>
        <v>167.39999999999964</v>
      </c>
      <c r="P24" s="12">
        <f>Table113456[[#This Row],[DG Parboiling 
Run Hr Meter5]]</f>
        <v>120.20000000000073</v>
      </c>
      <c r="Q24" s="12"/>
      <c r="R24" s="12"/>
      <c r="S24" s="12"/>
      <c r="T24" s="12"/>
      <c r="U24" s="12"/>
      <c r="V24" s="12"/>
      <c r="W24" s="12"/>
      <c r="X24" s="12">
        <f>Diesel!I24</f>
        <v>46068</v>
      </c>
    </row>
    <row r="25" spans="1:24" x14ac:dyDescent="0.35">
      <c r="A25" s="4">
        <v>46225</v>
      </c>
      <c r="B25" s="20">
        <f>Table113456[[#This Row],[Main Tank
Consumption (Liters)]]</f>
        <v>719</v>
      </c>
      <c r="C25" s="5">
        <f>Table1135[[#This Row],[NEPA Consumption (KWH)]]</f>
        <v>9090</v>
      </c>
      <c r="D25" s="5">
        <f>Table113[[#This Row],[Comp E75 -1
Run Hours]]</f>
        <v>23</v>
      </c>
      <c r="E25" s="10">
        <f>Table113[[#This Row],[Comp E75 -2
Run Hours]]</f>
        <v>0</v>
      </c>
      <c r="F25" s="10">
        <f>Table113[[#This Row],[Comp E75 -3
Run Hours]]</f>
        <v>24</v>
      </c>
      <c r="G25" s="10">
        <f>Table113[[#This Row],[Comp E55 Run Hours]]</f>
        <v>0</v>
      </c>
      <c r="H25" s="13">
        <f>Table113456[[#This Row],[DG Milling Run Hours]]</f>
        <v>3.0999999999994543</v>
      </c>
      <c r="I25" s="12">
        <f>Table113456[[#This Row],[DG Parboiling 
Run Hours]]</f>
        <v>3.1000000000003638</v>
      </c>
      <c r="J25" s="6"/>
      <c r="K25" s="12">
        <f>Table113[[#This Row],[Comp E75 -1
Rem Hours To Service]]</f>
        <v>1513</v>
      </c>
      <c r="L25" s="12">
        <f>Table113[[#This Row],[Comp E75 -2
Rem Hours To Service]]</f>
        <v>1366</v>
      </c>
      <c r="M25" s="12">
        <f>Table113[[#This Row],[Comp E75 -3
Rem Hours To Service]]</f>
        <v>3148</v>
      </c>
      <c r="N25" s="12">
        <f>Table113[[#This Row],[Comp E55 Rem Hours To Service]]</f>
        <v>1044</v>
      </c>
      <c r="O25" s="12">
        <f>Table113456[[#This Row],[DG Parboiling 
Run Hr Meter3]]</f>
        <v>164.30000000000018</v>
      </c>
      <c r="P25" s="12">
        <f>Table113456[[#This Row],[DG Parboiling 
Run Hr Meter5]]</f>
        <v>117.10000000000036</v>
      </c>
      <c r="Q25" s="12"/>
      <c r="R25" s="12"/>
      <c r="S25" s="12"/>
      <c r="T25" s="12"/>
      <c r="U25" s="12"/>
      <c r="V25" s="12"/>
      <c r="W25" s="12"/>
      <c r="X25" s="12">
        <f>Diesel!I25</f>
        <v>45349</v>
      </c>
    </row>
    <row r="26" spans="1:24" x14ac:dyDescent="0.35">
      <c r="A26" s="4">
        <v>46226</v>
      </c>
      <c r="B26" s="20">
        <f>Table113456[[#This Row],[Main Tank
Consumption (Liters)]]</f>
        <v>848</v>
      </c>
      <c r="C26" s="5">
        <f>Table1135[[#This Row],[NEPA Consumption (KWH)]]</f>
        <v>9640</v>
      </c>
      <c r="D26" s="5">
        <f>Table113[[#This Row],[Comp E75 -1
Run Hours]]</f>
        <v>14</v>
      </c>
      <c r="E26" s="10">
        <f>Table113[[#This Row],[Comp E75 -2
Run Hours]]</f>
        <v>23</v>
      </c>
      <c r="F26" s="10">
        <f>Table113[[#This Row],[Comp E75 -3
Run Hours]]</f>
        <v>5</v>
      </c>
      <c r="G26" s="10">
        <f>Table113[[#This Row],[Comp E55 Run Hours]]</f>
        <v>0</v>
      </c>
      <c r="H26" s="13">
        <f>Table113456[[#This Row],[DG Milling Run Hours]]</f>
        <v>3</v>
      </c>
      <c r="I26" s="12">
        <f>Table113456[[#This Row],[DG Parboiling 
Run Hours]]</f>
        <v>3</v>
      </c>
      <c r="J26" s="6"/>
      <c r="K26" s="12">
        <f>Table113[[#This Row],[Comp E75 -1
Rem Hours To Service]]</f>
        <v>1499</v>
      </c>
      <c r="L26" s="12">
        <f>Table113[[#This Row],[Comp E75 -2
Rem Hours To Service]]</f>
        <v>1343</v>
      </c>
      <c r="M26" s="12">
        <f>Table113[[#This Row],[Comp E75 -3
Rem Hours To Service]]</f>
        <v>3143</v>
      </c>
      <c r="N26" s="12">
        <f>Table113[[#This Row],[Comp E55 Rem Hours To Service]]</f>
        <v>1044</v>
      </c>
      <c r="O26" s="12">
        <f>Table113456[[#This Row],[DG Parboiling 
Run Hr Meter3]]</f>
        <v>161.30000000000018</v>
      </c>
      <c r="P26" s="12">
        <f>Table113456[[#This Row],[DG Parboiling 
Run Hr Meter5]]</f>
        <v>114.10000000000036</v>
      </c>
      <c r="Q26" s="12"/>
      <c r="R26" s="12"/>
      <c r="S26" s="12"/>
      <c r="T26" s="12"/>
      <c r="U26" s="12"/>
      <c r="V26" s="12"/>
      <c r="W26" s="12"/>
      <c r="X26" s="12">
        <f>Diesel!I26</f>
        <v>44501</v>
      </c>
    </row>
    <row r="27" spans="1:24" x14ac:dyDescent="0.35">
      <c r="A27" s="4">
        <v>46227</v>
      </c>
      <c r="B27" s="20">
        <f>Table113456[[#This Row],[Main Tank
Consumption (Liters)]]</f>
        <v>0</v>
      </c>
      <c r="C27" s="5">
        <f>Table1135[[#This Row],[NEPA Consumption (KWH)]]</f>
        <v>11860</v>
      </c>
      <c r="D27" s="5">
        <f>Table113[[#This Row],[Comp E75 -1
Run Hours]]</f>
        <v>0</v>
      </c>
      <c r="E27" s="10">
        <f>Table113[[#This Row],[Comp E75 -2
Run Hours]]</f>
        <v>24</v>
      </c>
      <c r="F27" s="10">
        <f>Table113[[#This Row],[Comp E75 -3
Run Hours]]</f>
        <v>24</v>
      </c>
      <c r="G27" s="10">
        <f>Table113[[#This Row],[Comp E55 Run Hours]]</f>
        <v>0</v>
      </c>
      <c r="H27" s="13">
        <f>Table113456[[#This Row],[DG Milling Run Hours]]</f>
        <v>0</v>
      </c>
      <c r="I27" s="12">
        <f>Table113456[[#This Row],[DG Parboiling 
Run Hours]]</f>
        <v>0</v>
      </c>
      <c r="J27" s="6"/>
      <c r="K27" s="12">
        <f>Table113[[#This Row],[Comp E75 -1
Rem Hours To Service]]</f>
        <v>1499</v>
      </c>
      <c r="L27" s="12">
        <f>Table113[[#This Row],[Comp E75 -2
Rem Hours To Service]]</f>
        <v>1319</v>
      </c>
      <c r="M27" s="12">
        <f>Table113[[#This Row],[Comp E75 -3
Rem Hours To Service]]</f>
        <v>3119</v>
      </c>
      <c r="N27" s="12">
        <f>Table113[[#This Row],[Comp E55 Rem Hours To Service]]</f>
        <v>1044</v>
      </c>
      <c r="O27" s="12">
        <f>Table113456[[#This Row],[DG Parboiling 
Run Hr Meter3]]</f>
        <v>161.30000000000018</v>
      </c>
      <c r="P27" s="12">
        <f>Table113456[[#This Row],[DG Parboiling 
Run Hr Meter5]]</f>
        <v>114.10000000000036</v>
      </c>
      <c r="Q27" s="12"/>
      <c r="R27" s="12"/>
      <c r="S27" s="12"/>
      <c r="T27" s="12"/>
      <c r="U27" s="12"/>
      <c r="V27" s="12"/>
      <c r="W27" s="12"/>
      <c r="X27" s="12">
        <f>Diesel!I27</f>
        <v>44501</v>
      </c>
    </row>
    <row r="28" spans="1:24" x14ac:dyDescent="0.35">
      <c r="A28" s="4">
        <v>46228</v>
      </c>
      <c r="B28" s="20">
        <f>Table113456[[#This Row],[Main Tank
Consumption (Liters)]]</f>
        <v>418</v>
      </c>
      <c r="C28" s="5">
        <f>Table1135[[#This Row],[NEPA Consumption (KWH)]]</f>
        <v>3990</v>
      </c>
      <c r="D28" s="5">
        <f>Table113[[#This Row],[Comp E75 -1
Run Hours]]</f>
        <v>0</v>
      </c>
      <c r="E28" s="10">
        <f>Table113[[#This Row],[Comp E75 -2
Run Hours]]</f>
        <v>2</v>
      </c>
      <c r="F28" s="10">
        <f>Table113[[#This Row],[Comp E75 -3
Run Hours]]</f>
        <v>0</v>
      </c>
      <c r="G28" s="10">
        <f>Table113[[#This Row],[Comp E55 Run Hours]]</f>
        <v>21</v>
      </c>
      <c r="H28" s="13">
        <f>Table113456[[#This Row],[DG Milling Run Hours]]</f>
        <v>1.6000000000003638</v>
      </c>
      <c r="I28" s="12">
        <f>Table113456[[#This Row],[DG Parboiling 
Run Hours]]</f>
        <v>2.8999999999996362</v>
      </c>
      <c r="J28" s="6"/>
      <c r="K28" s="12">
        <f>Table113[[#This Row],[Comp E75 -1
Rem Hours To Service]]</f>
        <v>1499</v>
      </c>
      <c r="L28" s="12">
        <f>Table113[[#This Row],[Comp E75 -2
Rem Hours To Service]]</f>
        <v>1317</v>
      </c>
      <c r="M28" s="12">
        <f>Table113[[#This Row],[Comp E75 -3
Rem Hours To Service]]</f>
        <v>3119</v>
      </c>
      <c r="N28" s="12">
        <f>Table113[[#This Row],[Comp E55 Rem Hours To Service]]</f>
        <v>1023</v>
      </c>
      <c r="O28" s="12">
        <f>Table113456[[#This Row],[DG Parboiling 
Run Hr Meter3]]</f>
        <v>159.69999999999982</v>
      </c>
      <c r="P28" s="12">
        <f>Table113456[[#This Row],[DG Parboiling 
Run Hr Meter5]]</f>
        <v>111.20000000000073</v>
      </c>
      <c r="Q28" s="12"/>
      <c r="R28" s="12"/>
      <c r="S28" s="12"/>
      <c r="T28" s="12"/>
      <c r="U28" s="12"/>
      <c r="V28" s="12"/>
      <c r="W28" s="12"/>
      <c r="X28" s="12">
        <f>Diesel!I28</f>
        <v>44083</v>
      </c>
    </row>
    <row r="29" spans="1:24" x14ac:dyDescent="0.35">
      <c r="A29" s="4">
        <v>46229</v>
      </c>
      <c r="B29" s="20">
        <f>Table113456[[#This Row],[Main Tank
Consumption (Liters)]]</f>
        <v>0</v>
      </c>
      <c r="C29" s="5">
        <f>Table1135[[#This Row],[NEPA Consumption (KWH)]]</f>
        <v>3460</v>
      </c>
      <c r="D29" s="5">
        <f>Table113[[#This Row],[Comp E75 -1
Run Hours]]</f>
        <v>0</v>
      </c>
      <c r="E29" s="10">
        <f>Table113[[#This Row],[Comp E75 -2
Run Hours]]</f>
        <v>0</v>
      </c>
      <c r="F29" s="10">
        <f>Table113[[#This Row],[Comp E75 -3
Run Hours]]</f>
        <v>0</v>
      </c>
      <c r="G29" s="10">
        <f>Table113[[#This Row],[Comp E55 Run Hours]]</f>
        <v>24</v>
      </c>
      <c r="H29" s="13">
        <f>Table113456[[#This Row],[DG Milling Run Hours]]</f>
        <v>0</v>
      </c>
      <c r="I29" s="12">
        <f>Table113456[[#This Row],[DG Parboiling 
Run Hours]]</f>
        <v>0</v>
      </c>
      <c r="J29" s="6"/>
      <c r="K29" s="12">
        <f>Table113[[#This Row],[Comp E75 -1
Rem Hours To Service]]</f>
        <v>1499</v>
      </c>
      <c r="L29" s="12">
        <f>Table113[[#This Row],[Comp E75 -2
Rem Hours To Service]]</f>
        <v>1317</v>
      </c>
      <c r="M29" s="12">
        <f>Table113[[#This Row],[Comp E75 -3
Rem Hours To Service]]</f>
        <v>3119</v>
      </c>
      <c r="N29" s="12">
        <f>Table113[[#This Row],[Comp E55 Rem Hours To Service]]</f>
        <v>999</v>
      </c>
      <c r="O29" s="12">
        <f>Table113456[[#This Row],[DG Parboiling 
Run Hr Meter3]]</f>
        <v>159.69999999999982</v>
      </c>
      <c r="P29" s="12">
        <f>Table113456[[#This Row],[DG Parboiling 
Run Hr Meter5]]</f>
        <v>111.20000000000073</v>
      </c>
      <c r="Q29" s="12"/>
      <c r="R29" s="12"/>
      <c r="S29" s="12"/>
      <c r="T29" s="12"/>
      <c r="U29" s="12"/>
      <c r="V29" s="12"/>
      <c r="W29" s="12"/>
      <c r="X29" s="12">
        <f>Diesel!I29</f>
        <v>44083</v>
      </c>
    </row>
    <row r="30" spans="1:24" x14ac:dyDescent="0.35">
      <c r="A30" s="4">
        <v>46230</v>
      </c>
      <c r="B30" s="20">
        <f>Table113456[[#This Row],[Main Tank
Consumption (Liters)]]</f>
        <v>0</v>
      </c>
      <c r="C30" s="5">
        <f>Table1135[[#This Row],[NEPA Consumption (KWH)]]</f>
        <v>11660</v>
      </c>
      <c r="D30" s="5">
        <f>Table113[[#This Row],[Comp E75 -1
Run Hours]]</f>
        <v>0</v>
      </c>
      <c r="E30" s="10">
        <f>Table113[[#This Row],[Comp E75 -2
Run Hours]]</f>
        <v>24</v>
      </c>
      <c r="F30" s="10">
        <f>Table113[[#This Row],[Comp E75 -3
Run Hours]]</f>
        <v>23</v>
      </c>
      <c r="G30" s="10">
        <f>Table113[[#This Row],[Comp E55 Run Hours]]</f>
        <v>0</v>
      </c>
      <c r="H30" s="13">
        <f>Table113456[[#This Row],[DG Milling Run Hours]]</f>
        <v>0</v>
      </c>
      <c r="I30" s="12">
        <f>Table113456[[#This Row],[DG Parboiling 
Run Hours]]</f>
        <v>0</v>
      </c>
      <c r="J30" s="6"/>
      <c r="K30" s="12">
        <f>Table113[[#This Row],[Comp E75 -1
Rem Hours To Service]]</f>
        <v>1499</v>
      </c>
      <c r="L30" s="12">
        <f>Table113[[#This Row],[Comp E75 -2
Rem Hours To Service]]</f>
        <v>1293</v>
      </c>
      <c r="M30" s="12">
        <f>Table113[[#This Row],[Comp E75 -3
Rem Hours To Service]]</f>
        <v>3096</v>
      </c>
      <c r="N30" s="12">
        <f>Table113[[#This Row],[Comp E55 Rem Hours To Service]]</f>
        <v>999</v>
      </c>
      <c r="O30" s="12">
        <f>Table113456[[#This Row],[DG Parboiling 
Run Hr Meter3]]</f>
        <v>159.69999999999982</v>
      </c>
      <c r="P30" s="12">
        <f>Table113456[[#This Row],[DG Parboiling 
Run Hr Meter5]]</f>
        <v>111.20000000000073</v>
      </c>
      <c r="Q30" s="12"/>
      <c r="R30" s="12"/>
      <c r="S30" s="12"/>
      <c r="T30" s="12"/>
      <c r="U30" s="12"/>
      <c r="V30" s="12"/>
      <c r="W30" s="12"/>
      <c r="X30" s="12">
        <f>Diesel!I30</f>
        <v>44058</v>
      </c>
    </row>
    <row r="31" spans="1:24" x14ac:dyDescent="0.35">
      <c r="A31" s="4">
        <v>46231</v>
      </c>
      <c r="B31" s="20">
        <f>Table113456[[#This Row],[Main Tank
Consumption (Liters)]]</f>
        <v>0</v>
      </c>
      <c r="C31" s="5">
        <f>Table1135[[#This Row],[NEPA Consumption (KWH)]]</f>
        <v>11010</v>
      </c>
      <c r="D31" s="5">
        <f>Table113[[#This Row],[Comp E75 -1
Run Hours]]</f>
        <v>23</v>
      </c>
      <c r="E31" s="10">
        <f>Table113[[#This Row],[Comp E75 -2
Run Hours]]</f>
        <v>0</v>
      </c>
      <c r="F31" s="10">
        <f>Table113[[#This Row],[Comp E75 -3
Run Hours]]</f>
        <v>22</v>
      </c>
      <c r="G31" s="10">
        <f>Table113[[#This Row],[Comp E55 Run Hours]]</f>
        <v>0</v>
      </c>
      <c r="H31" s="13">
        <f>Table113456[[#This Row],[DG Milling Run Hours]]</f>
        <v>0</v>
      </c>
      <c r="I31" s="12">
        <f>Table113456[[#This Row],[DG Parboiling 
Run Hours]]</f>
        <v>0</v>
      </c>
      <c r="J31" s="6"/>
      <c r="K31" s="12">
        <f>Table113[[#This Row],[Comp E75 -1
Rem Hours To Service]]</f>
        <v>1476</v>
      </c>
      <c r="L31" s="12">
        <f>Table113[[#This Row],[Comp E75 -2
Rem Hours To Service]]</f>
        <v>1293</v>
      </c>
      <c r="M31" s="12">
        <f>Table113[[#This Row],[Comp E75 -3
Rem Hours To Service]]</f>
        <v>3074</v>
      </c>
      <c r="N31" s="12">
        <f>Table113[[#This Row],[Comp E55 Rem Hours To Service]]</f>
        <v>999</v>
      </c>
      <c r="O31" s="12">
        <f>Table113456[[#This Row],[DG Parboiling 
Run Hr Meter3]]</f>
        <v>159.69999999999982</v>
      </c>
      <c r="P31" s="12">
        <f>Table113456[[#This Row],[DG Parboiling 
Run Hr Meter5]]</f>
        <v>111.20000000000073</v>
      </c>
      <c r="Q31" s="12"/>
      <c r="R31" s="12"/>
      <c r="S31" s="12"/>
      <c r="T31" s="12"/>
      <c r="U31" s="12"/>
      <c r="V31" s="12"/>
      <c r="W31" s="12"/>
      <c r="X31" s="12">
        <f>Diesel!I31</f>
        <v>44058</v>
      </c>
    </row>
    <row r="32" spans="1:24" x14ac:dyDescent="0.35">
      <c r="A32" s="4">
        <v>46232</v>
      </c>
      <c r="B32" s="23">
        <f>Table113456[[#This Row],[Main Tank
Consumption (Liters)]]</f>
        <v>0</v>
      </c>
      <c r="C32" s="7">
        <f>Table1135[[#This Row],[NEPA Consumption (KWH)]]</f>
        <v>10130</v>
      </c>
      <c r="D32" s="5">
        <f>Table113[[#This Row],[Comp E75 -1
Run Hours]]</f>
        <v>24</v>
      </c>
      <c r="E32" s="10">
        <f>Table113[[#This Row],[Comp E75 -2
Run Hours]]</f>
        <v>24</v>
      </c>
      <c r="F32" s="10">
        <f>Table113[[#This Row],[Comp E75 -3
Run Hours]]</f>
        <v>0</v>
      </c>
      <c r="G32" s="10">
        <f>Table113[[#This Row],[Comp E55 Run Hours]]</f>
        <v>0</v>
      </c>
      <c r="H32" s="13">
        <f>Table113456[[#This Row],[DG Milling Run Hours]]</f>
        <v>0</v>
      </c>
      <c r="I32" s="12">
        <f>Table113456[[#This Row],[DG Parboiling 
Run Hours]]</f>
        <v>0</v>
      </c>
      <c r="J32" s="11"/>
      <c r="K32" s="12">
        <f>Table113[[#This Row],[Comp E75 -1
Rem Hours To Service]]</f>
        <v>1452</v>
      </c>
      <c r="L32" s="12">
        <f>Table113[[#This Row],[Comp E75 -2
Rem Hours To Service]]</f>
        <v>1269</v>
      </c>
      <c r="M32" s="12">
        <f>Table113[[#This Row],[Comp E75 -3
Rem Hours To Service]]</f>
        <v>3074</v>
      </c>
      <c r="N32" s="12">
        <f>Table113[[#This Row],[Comp E55 Rem Hours To Service]]</f>
        <v>999</v>
      </c>
      <c r="O32" s="12">
        <f>Table113456[[#This Row],[DG Parboiling 
Run Hr Meter3]]</f>
        <v>159.69999999999982</v>
      </c>
      <c r="P32" s="12">
        <f>Table113456[[#This Row],[DG Parboiling 
Run Hr Meter5]]</f>
        <v>111.20000000000073</v>
      </c>
      <c r="Q32" s="12"/>
      <c r="R32" s="12"/>
      <c r="S32" s="12"/>
      <c r="T32" s="12"/>
      <c r="U32" s="12"/>
      <c r="V32" s="12"/>
      <c r="W32" s="12"/>
      <c r="X32" s="12">
        <f>Diesel!I32</f>
        <v>44058</v>
      </c>
    </row>
    <row r="33" spans="1:26" x14ac:dyDescent="0.35">
      <c r="A33" s="4">
        <v>46233</v>
      </c>
      <c r="B33" s="23">
        <f>Table113456[[#This Row],[Main Tank
Consumption (Liters)]]</f>
        <v>0</v>
      </c>
      <c r="C33" s="7">
        <f>Table1135[[#This Row],[NEPA Consumption (KWH)]]</f>
        <v>8630</v>
      </c>
      <c r="D33" s="7">
        <f>Table113[[#This Row],[Comp E75 -1
Run Hours]]</f>
        <v>0</v>
      </c>
      <c r="E33" s="7">
        <f>Table113[[#This Row],[Comp E75 -2
Run Hours]]</f>
        <v>24</v>
      </c>
      <c r="F33" s="29">
        <f>Table113[[#This Row],[Comp E75 -3
Run Hours]]</f>
        <v>22</v>
      </c>
      <c r="G33" s="7">
        <f>Table113[[#This Row],[Comp E55 Run Hours]]</f>
        <v>0</v>
      </c>
      <c r="H33" s="23">
        <f>Table113456[[#This Row],[DG Milling Run Hours]]</f>
        <v>0</v>
      </c>
      <c r="I33" s="12">
        <f>Table113456[[#This Row],[DG Parboiling 
Run Hours]]</f>
        <v>0</v>
      </c>
      <c r="J33" s="11"/>
      <c r="K33" s="29">
        <f>Table113[[#This Row],[Comp E75 -1
Rem Hours To Service]]</f>
        <v>1452</v>
      </c>
      <c r="L33" s="7">
        <f>Table113[[#This Row],[Comp E75 -2
Rem Hours To Service]]</f>
        <v>1245</v>
      </c>
      <c r="M33" s="29">
        <f>Table113[[#This Row],[Comp E75 -3
Rem Hours To Service]]</f>
        <v>3052</v>
      </c>
      <c r="N33" s="29">
        <f>Table113[[#This Row],[Comp E55 Rem Hours To Service]]</f>
        <v>999</v>
      </c>
      <c r="O33" s="29">
        <f>Table113456[[#This Row],[DG Parboiling 
Run Hr Meter3]]</f>
        <v>159.69999999999982</v>
      </c>
      <c r="P33" s="7">
        <f>Table113456[[#This Row],[DG Parboiling 
Run Hr Meter5]]</f>
        <v>111.20000000000073</v>
      </c>
      <c r="Q33" s="7"/>
      <c r="R33" s="7"/>
      <c r="S33" s="7"/>
      <c r="T33" s="7"/>
      <c r="U33" s="7"/>
      <c r="V33" s="7"/>
      <c r="W33" s="7"/>
      <c r="X33" s="12">
        <f>Diesel!I33</f>
        <v>43983</v>
      </c>
      <c r="Z33" s="35"/>
    </row>
    <row r="34" spans="1:26" x14ac:dyDescent="0.35">
      <c r="A34" s="4">
        <v>46234</v>
      </c>
      <c r="B34" s="23">
        <f>Table113456[[#This Row],[Main Tank
Consumption (Liters)]]</f>
        <v>0</v>
      </c>
      <c r="C34" s="7">
        <f>Table1135[[#This Row],[NEPA Consumption (KWH)]]</f>
        <v>8560</v>
      </c>
      <c r="D34" s="5">
        <f>Table113[[#This Row],[Comp E75 -1
Run Hours]]</f>
        <v>24</v>
      </c>
      <c r="E34" s="10">
        <f>Table113[[#This Row],[Comp E75 -2
Run Hours]]</f>
        <v>0</v>
      </c>
      <c r="F34" s="10">
        <f>Table113[[#This Row],[Comp E75 -3
Run Hours]]</f>
        <v>24</v>
      </c>
      <c r="G34" s="10">
        <f>Table113[[#This Row],[Comp E55 Run Hours]]</f>
        <v>0</v>
      </c>
      <c r="H34" s="13">
        <f>Table113456[[#This Row],[DG Milling Run Hours]]</f>
        <v>0</v>
      </c>
      <c r="I34" s="12">
        <f>Table113456[[#This Row],[DG Parboiling 
Run Hours]]</f>
        <v>0</v>
      </c>
      <c r="J34" s="11"/>
      <c r="K34" s="12">
        <f>Table113[[#This Row],[Comp E75 -1
Rem Hours To Service]]</f>
        <v>1428</v>
      </c>
      <c r="L34" s="12">
        <f>Table113[[#This Row],[Comp E75 -2
Rem Hours To Service]]</f>
        <v>1245</v>
      </c>
      <c r="M34" s="12">
        <f>Table113[[#This Row],[Comp E75 -3
Rem Hours To Service]]</f>
        <v>3028</v>
      </c>
      <c r="N34" s="12">
        <f>Table113[[#This Row],[Comp E55 Rem Hours To Service]]</f>
        <v>999</v>
      </c>
      <c r="O34" s="12">
        <v>159.69999999999982</v>
      </c>
      <c r="P34" s="12">
        <v>111.20000000000073</v>
      </c>
      <c r="Q34" s="12"/>
      <c r="R34" s="12"/>
      <c r="S34" s="12"/>
      <c r="T34" s="12"/>
      <c r="U34" s="12"/>
      <c r="V34" s="12"/>
      <c r="W34" s="12"/>
      <c r="X34" s="12">
        <f>Diesel!I34</f>
        <v>43983</v>
      </c>
    </row>
    <row r="35" spans="1:26" x14ac:dyDescent="0.35">
      <c r="A35" s="4">
        <v>46235</v>
      </c>
      <c r="B35" s="20">
        <f>Table113456[[#This Row],[Main Tank
Consumption (Liters)]]</f>
        <v>38899</v>
      </c>
      <c r="C35" s="5">
        <f>Table1135[[#This Row],[NEPA Consumption (KWH)]]</f>
        <v>-24287130</v>
      </c>
      <c r="D35" s="5">
        <f>Table113[[#This Row],[Comp E75 -1
Run Hours]]</f>
        <v>-4012</v>
      </c>
      <c r="E35" s="10">
        <f>Table113[[#This Row],[Comp E75 -2
Run Hours]]</f>
        <v>-6821</v>
      </c>
      <c r="F35" s="10">
        <f>Table113[[#This Row],[Comp E75 -3
Run Hours]]</f>
        <v>-972</v>
      </c>
      <c r="G35" s="10">
        <f>Table113[[#This Row],[Comp E55 Run Hours]]</f>
        <v>-25931</v>
      </c>
      <c r="H35" s="13">
        <f>Table113456[[#This Row],[DG Milling Run Hours]]</f>
        <v>-5664.3</v>
      </c>
      <c r="I35" s="12">
        <f>Table113456[[#This Row],[DG Parboiling 
Run Hours]]</f>
        <v>-12532.3</v>
      </c>
      <c r="J35" s="6"/>
      <c r="K35" s="12">
        <f>Table113[[#This Row],[Comp E75 -1
Rem Hours To Service]]</f>
        <v>5440</v>
      </c>
      <c r="L35" s="12">
        <f>Table113[[#This Row],[Comp E75 -2
Rem Hours To Service]]</f>
        <v>8066</v>
      </c>
      <c r="M35" s="12">
        <f>Table113[[#This Row],[Comp E75 -3
Rem Hours To Service]]</f>
        <v>4000</v>
      </c>
      <c r="N35" s="12">
        <f>Table113[[#This Row],[Comp E55 Rem Hours To Service]]</f>
        <v>26930</v>
      </c>
      <c r="O35" s="12">
        <f>Table113456[[#This Row],[DG Parboiling 
Run Hr Meter3]]</f>
        <v>5824</v>
      </c>
      <c r="P35" s="12">
        <f>Table113456[[#This Row],[DG Parboiling 
Run Hr Meter5]]</f>
        <v>12643.5</v>
      </c>
      <c r="Q35" s="12"/>
      <c r="R35" s="12"/>
      <c r="S35" s="12"/>
      <c r="T35" s="12"/>
      <c r="U35" s="12"/>
      <c r="V35" s="12"/>
      <c r="W35" s="12"/>
      <c r="X35" s="12">
        <f>Diesel!I35</f>
        <v>0</v>
      </c>
    </row>
    <row r="36" spans="1:26" x14ac:dyDescent="0.35">
      <c r="A36" t="s">
        <v>41</v>
      </c>
      <c r="X36" s="21"/>
    </row>
    <row r="37" spans="1:26" x14ac:dyDescent="0.35">
      <c r="A37" t="s">
        <v>42</v>
      </c>
      <c r="K37" s="15"/>
      <c r="L37" s="15"/>
      <c r="M37" s="15"/>
      <c r="N37" s="15"/>
      <c r="O37" s="15"/>
      <c r="P37" s="15"/>
      <c r="X37" s="21"/>
    </row>
    <row r="38" spans="1:26" x14ac:dyDescent="0.35">
      <c r="B38" s="15">
        <f>SUM(B4:B30)</f>
        <v>10038</v>
      </c>
      <c r="X38" s="21"/>
    </row>
    <row r="39" spans="1:26" x14ac:dyDescent="0.35">
      <c r="B39" s="45" t="s">
        <v>75</v>
      </c>
      <c r="C39" s="46"/>
      <c r="D39" s="46"/>
      <c r="E39" s="46"/>
      <c r="F39" s="44"/>
      <c r="X39" s="21"/>
    </row>
    <row r="40" spans="1:26" x14ac:dyDescent="0.35">
      <c r="B40" s="46"/>
      <c r="C40" s="46"/>
      <c r="D40" s="46"/>
      <c r="E40" s="46"/>
      <c r="F40" s="44"/>
    </row>
    <row r="41" spans="1:26" x14ac:dyDescent="0.35">
      <c r="B41" s="46"/>
      <c r="C41" s="46"/>
      <c r="D41" s="46"/>
      <c r="E41" s="46"/>
      <c r="F41" s="44"/>
    </row>
    <row r="42" spans="1:26" x14ac:dyDescent="0.35">
      <c r="B42" s="46"/>
      <c r="C42" s="46"/>
      <c r="D42" s="46"/>
      <c r="E42" s="46"/>
      <c r="F42" s="44"/>
    </row>
    <row r="43" spans="1:26" x14ac:dyDescent="0.35">
      <c r="B43" s="46"/>
      <c r="C43" s="46"/>
      <c r="D43" s="46"/>
      <c r="E43" s="46"/>
      <c r="F43" s="44"/>
    </row>
    <row r="44" spans="1:26" x14ac:dyDescent="0.35">
      <c r="B44" s="46"/>
      <c r="C44" s="46"/>
      <c r="D44" s="46"/>
      <c r="E44" s="46"/>
      <c r="F44" s="44"/>
    </row>
    <row r="46" spans="1:26" x14ac:dyDescent="0.35">
      <c r="C46" s="15"/>
    </row>
  </sheetData>
  <sheetProtection formatCells="0" formatColumns="0" formatRows="0" insertColumns="0" insertRows="0" insertHyperlinks="0" deleteColumns="0" deleteRows="0" sort="0" autoFilter="0" pivotTables="0"/>
  <mergeCells count="1">
    <mergeCell ref="B39:E44"/>
  </mergeCells>
  <phoneticPr fontId="3" type="noConversion"/>
  <printOptions horizontalCentered="1"/>
  <pageMargins left="0.11811023622047245" right="0.11811023622047245" top="0.74803149606299213" bottom="0.74803149606299213" header="0.31496062992125984" footer="0.31496062992125984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9DDD-2A14-4746-BC3C-C1533FBE8EDA}">
  <sheetPr codeName="Sheet3"/>
  <dimension ref="A1:Q35"/>
  <sheetViews>
    <sheetView topLeftCell="A18" workbookViewId="0">
      <selection activeCell="B33" sqref="B33:Q33"/>
    </sheetView>
  </sheetViews>
  <sheetFormatPr defaultRowHeight="14.5" x14ac:dyDescent="0.35"/>
  <cols>
    <col min="1" max="1" width="10.36328125" bestFit="1" customWidth="1"/>
    <col min="2" max="2" width="11.26953125" bestFit="1" customWidth="1"/>
    <col min="3" max="3" width="11.26953125" customWidth="1"/>
    <col min="4" max="5" width="11.26953125" bestFit="1" customWidth="1"/>
    <col min="6" max="6" width="11.26953125" customWidth="1"/>
    <col min="7" max="7" width="11.26953125" bestFit="1" customWidth="1"/>
    <col min="8" max="10" width="11.26953125" customWidth="1"/>
    <col min="11" max="11" width="11.26953125" bestFit="1" customWidth="1"/>
    <col min="12" max="12" width="11.26953125" customWidth="1"/>
    <col min="13" max="13" width="10.90625" bestFit="1" customWidth="1"/>
  </cols>
  <sheetData>
    <row r="1" spans="1:17" ht="58" x14ac:dyDescent="0.35">
      <c r="A1" s="1" t="s">
        <v>0</v>
      </c>
      <c r="B1" s="2" t="s">
        <v>5</v>
      </c>
      <c r="C1" s="2" t="s">
        <v>13</v>
      </c>
      <c r="D1" s="2" t="s">
        <v>8</v>
      </c>
      <c r="E1" s="2" t="s">
        <v>4</v>
      </c>
      <c r="F1" s="2" t="s">
        <v>14</v>
      </c>
      <c r="G1" s="2" t="s">
        <v>9</v>
      </c>
      <c r="H1" s="2" t="s">
        <v>43</v>
      </c>
      <c r="I1" s="2" t="s">
        <v>44</v>
      </c>
      <c r="J1" s="2" t="s">
        <v>45</v>
      </c>
      <c r="K1" s="2" t="s">
        <v>7</v>
      </c>
      <c r="L1" s="2" t="s">
        <v>15</v>
      </c>
      <c r="M1" s="2" t="s">
        <v>12</v>
      </c>
      <c r="N1" s="2" t="s">
        <v>16</v>
      </c>
      <c r="O1" s="2" t="s">
        <v>17</v>
      </c>
      <c r="P1" s="2" t="s">
        <v>48</v>
      </c>
      <c r="Q1" s="2" t="s">
        <v>18</v>
      </c>
    </row>
    <row r="2" spans="1:17" hidden="1" x14ac:dyDescent="0.35">
      <c r="A2" s="4">
        <v>46202</v>
      </c>
      <c r="B2" s="10">
        <v>21</v>
      </c>
      <c r="C2" s="7">
        <v>3686</v>
      </c>
      <c r="D2" s="13">
        <v>1754</v>
      </c>
      <c r="E2" s="10">
        <v>22</v>
      </c>
      <c r="F2" s="7">
        <v>6405</v>
      </c>
      <c r="G2" s="13">
        <v>1661</v>
      </c>
      <c r="H2" s="10">
        <v>0</v>
      </c>
      <c r="I2" s="7">
        <v>558</v>
      </c>
      <c r="J2" s="13">
        <v>3442</v>
      </c>
      <c r="K2" s="10">
        <v>0</v>
      </c>
      <c r="L2" s="7">
        <v>25807</v>
      </c>
      <c r="M2" s="13">
        <v>1123</v>
      </c>
      <c r="N2" s="19"/>
      <c r="O2" s="19"/>
      <c r="P2" s="19"/>
      <c r="Q2" s="19"/>
    </row>
    <row r="3" spans="1:17" hidden="1" x14ac:dyDescent="0.35">
      <c r="A3" s="4">
        <v>46203</v>
      </c>
      <c r="B3" s="10">
        <f>'PowerHouse Data'!D4-'PowerHouse Data'!C4</f>
        <v>0</v>
      </c>
      <c r="C3" s="7">
        <f>'PowerHouse Data'!$D$4</f>
        <v>3687</v>
      </c>
      <c r="D3" s="13">
        <f>$N$3-Table113[[#This Row],[Comp E75 -1
Run Hr]]</f>
        <v>1753</v>
      </c>
      <c r="E3" s="10">
        <f>'PowerHouse Data'!D5-'PowerHouse Data'!C5</f>
        <v>23</v>
      </c>
      <c r="F3" s="7">
        <f>'PowerHouse Data'!$D$5</f>
        <v>6428</v>
      </c>
      <c r="G3" s="13">
        <f>$O$3-Table113[[#This Row],[Comp E75 -2
Run Hr]]</f>
        <v>1638</v>
      </c>
      <c r="H3" s="10">
        <f>'PowerHouse Data'!D6-'PowerHouse Data'!C6</f>
        <v>22</v>
      </c>
      <c r="I3" s="7">
        <f>'PowerHouse Data'!$D$6</f>
        <v>580</v>
      </c>
      <c r="J3" s="13">
        <f>$P$3-Table113[[#This Row],[Comp E75 -3
Run Hr]]</f>
        <v>3420</v>
      </c>
      <c r="K3" s="10">
        <f>'PowerHouse Data'!D7-'PowerHouse Data'!C7</f>
        <v>15</v>
      </c>
      <c r="L3" s="7">
        <f>'PowerHouse Data'!$D$7</f>
        <v>25822</v>
      </c>
      <c r="M3" s="13">
        <f>$Q$3-Table113[[#This Row],[Comp E55 Run Hr]]</f>
        <v>1108</v>
      </c>
      <c r="N3" s="19">
        <v>5440</v>
      </c>
      <c r="O3" s="19">
        <v>8066</v>
      </c>
      <c r="P3" s="19">
        <v>4000</v>
      </c>
      <c r="Q3" s="19">
        <v>26930</v>
      </c>
    </row>
    <row r="4" spans="1:17" x14ac:dyDescent="0.35">
      <c r="A4" s="4">
        <v>46204</v>
      </c>
      <c r="B4" s="5">
        <f>Table113[[#This Row],[Comp E75 -1
Run Hr]]-C3</f>
        <v>22</v>
      </c>
      <c r="C4" s="7">
        <f>'PowerHouse Data'!$E$4</f>
        <v>3709</v>
      </c>
      <c r="D4" s="13">
        <f>$N$3-Table113[[#This Row],[Comp E75 -1
Run Hr]]</f>
        <v>1731</v>
      </c>
      <c r="E4" s="5">
        <f>Table113[[#This Row],[Comp E75 -2
Run Hr]]-F3</f>
        <v>0</v>
      </c>
      <c r="F4" s="7">
        <f>'PowerHouse Data'!$E$5</f>
        <v>6428</v>
      </c>
      <c r="G4" s="13">
        <f>$O$3-Table113[[#This Row],[Comp E75 -2
Run Hr]]</f>
        <v>1638</v>
      </c>
      <c r="H4" s="5">
        <f>Table113[[#This Row],[Comp E75 -3
Run Hr]]-I3</f>
        <v>24</v>
      </c>
      <c r="I4" s="7">
        <f>'PowerHouse Data'!$E$6</f>
        <v>604</v>
      </c>
      <c r="J4" s="13">
        <f>$P$3-Table113[[#This Row],[Comp E75 -3
Run Hr]]</f>
        <v>3396</v>
      </c>
      <c r="K4" s="5">
        <f>Table113[[#This Row],[Comp E55 Run Hr]]-L3</f>
        <v>24</v>
      </c>
      <c r="L4" s="7">
        <f>'PowerHouse Data'!$E$7</f>
        <v>25846</v>
      </c>
      <c r="M4" s="13">
        <f>$Q$3-Table113[[#This Row],[Comp E55 Run Hr]]</f>
        <v>1084</v>
      </c>
      <c r="N4" s="28"/>
      <c r="O4" s="28"/>
      <c r="P4" s="28"/>
      <c r="Q4" s="28"/>
    </row>
    <row r="5" spans="1:17" x14ac:dyDescent="0.35">
      <c r="A5" s="4">
        <v>46205</v>
      </c>
      <c r="B5" s="5">
        <f>Table113[[#This Row],[Comp E75 -1
Run Hr]]-C4</f>
        <v>23</v>
      </c>
      <c r="C5" s="7">
        <f>'PowerHouse Data'!$F$4</f>
        <v>3732</v>
      </c>
      <c r="D5" s="13">
        <f>$N$3-Table113[[#This Row],[Comp E75 -1
Run Hr]]</f>
        <v>1708</v>
      </c>
      <c r="E5" s="5">
        <f>Table113[[#This Row],[Comp E75 -2
Run Hr]]-F4</f>
        <v>23</v>
      </c>
      <c r="F5" s="7">
        <f>'PowerHouse Data'!$F$5</f>
        <v>6451</v>
      </c>
      <c r="G5" s="13">
        <f>$O$3-Table113[[#This Row],[Comp E75 -2
Run Hr]]</f>
        <v>1615</v>
      </c>
      <c r="H5" s="5">
        <f>Table113[[#This Row],[Comp E75 -3
Run Hr]]-I4</f>
        <v>0</v>
      </c>
      <c r="I5" s="7">
        <f>'PowerHouse Data'!$F$6</f>
        <v>604</v>
      </c>
      <c r="J5" s="13">
        <f>$P$3-Table113[[#This Row],[Comp E75 -3
Run Hr]]</f>
        <v>3396</v>
      </c>
      <c r="K5" s="5">
        <f>Table113[[#This Row],[Comp E55 Run Hr]]-L4</f>
        <v>4</v>
      </c>
      <c r="L5" s="7">
        <f>'PowerHouse Data'!$F$7</f>
        <v>25850</v>
      </c>
      <c r="M5" s="13">
        <f>$Q$3-Table113[[#This Row],[Comp E55 Run Hr]]</f>
        <v>1080</v>
      </c>
      <c r="N5" s="28"/>
      <c r="O5" s="28"/>
      <c r="P5" s="28"/>
      <c r="Q5" s="28"/>
    </row>
    <row r="6" spans="1:17" x14ac:dyDescent="0.35">
      <c r="A6" s="4">
        <v>46206</v>
      </c>
      <c r="B6" s="5">
        <f>Table113[[#This Row],[Comp E75 -1
Run Hr]]-C5</f>
        <v>0</v>
      </c>
      <c r="C6" s="7">
        <f>'PowerHouse Data'!$G$4</f>
        <v>3732</v>
      </c>
      <c r="D6" s="13">
        <f>$N$3-Table113[[#This Row],[Comp E75 -1
Run Hr]]</f>
        <v>1708</v>
      </c>
      <c r="E6" s="5">
        <f>Table113[[#This Row],[Comp E75 -2
Run Hr]]-F5</f>
        <v>24</v>
      </c>
      <c r="F6" s="7">
        <f>'PowerHouse Data'!$G$5</f>
        <v>6475</v>
      </c>
      <c r="G6" s="13">
        <f>$O$3-Table113[[#This Row],[Comp E75 -2
Run Hr]]</f>
        <v>1591</v>
      </c>
      <c r="H6" s="5">
        <f>Table113[[#This Row],[Comp E75 -3
Run Hr]]-I5</f>
        <v>24</v>
      </c>
      <c r="I6" s="7">
        <f>'PowerHouse Data'!$G$6</f>
        <v>628</v>
      </c>
      <c r="J6" s="13">
        <f>$P$3-Table113[[#This Row],[Comp E75 -3
Run Hr]]</f>
        <v>3372</v>
      </c>
      <c r="K6" s="5">
        <f>Table113[[#This Row],[Comp E55 Run Hr]]-L5</f>
        <v>0</v>
      </c>
      <c r="L6" s="7">
        <f>'PowerHouse Data'!$G$7</f>
        <v>25850</v>
      </c>
      <c r="M6" s="13">
        <f>$Q$3-Table113[[#This Row],[Comp E55 Run Hr]]</f>
        <v>1080</v>
      </c>
      <c r="N6" s="28"/>
      <c r="O6" s="28"/>
      <c r="P6" s="28"/>
      <c r="Q6" s="28"/>
    </row>
    <row r="7" spans="1:17" x14ac:dyDescent="0.35">
      <c r="A7" s="4">
        <v>46207</v>
      </c>
      <c r="B7" s="5">
        <f>Table113[[#This Row],[Comp E75 -1
Run Hr]]-C6</f>
        <v>24</v>
      </c>
      <c r="C7" s="7">
        <f>'PowerHouse Data'!$H$4</f>
        <v>3756</v>
      </c>
      <c r="D7" s="13">
        <f>$N$3-Table113[[#This Row],[Comp E75 -1
Run Hr]]</f>
        <v>1684</v>
      </c>
      <c r="E7" s="5">
        <f>Table113[[#This Row],[Comp E75 -2
Run Hr]]-F6</f>
        <v>0</v>
      </c>
      <c r="F7" s="7">
        <f>'PowerHouse Data'!$H$5</f>
        <v>6475</v>
      </c>
      <c r="G7" s="13">
        <f>$O$3-Table113[[#This Row],[Comp E75 -2
Run Hr]]</f>
        <v>1591</v>
      </c>
      <c r="H7" s="5">
        <f>Table113[[#This Row],[Comp E75 -3
Run Hr]]-I6</f>
        <v>0</v>
      </c>
      <c r="I7" s="7">
        <f>'PowerHouse Data'!$H$6</f>
        <v>628</v>
      </c>
      <c r="J7" s="13">
        <f>$P$3-Table113[[#This Row],[Comp E75 -3
Run Hr]]</f>
        <v>3372</v>
      </c>
      <c r="K7" s="5">
        <f>Table113[[#This Row],[Comp E55 Run Hr]]-L6</f>
        <v>0</v>
      </c>
      <c r="L7" s="7">
        <f>'PowerHouse Data'!$H$7</f>
        <v>25850</v>
      </c>
      <c r="M7" s="13">
        <f>$Q$3-Table113[[#This Row],[Comp E55 Run Hr]]</f>
        <v>1080</v>
      </c>
      <c r="N7" s="28"/>
      <c r="O7" s="28"/>
      <c r="P7" s="28"/>
      <c r="Q7" s="28"/>
    </row>
    <row r="8" spans="1:17" x14ac:dyDescent="0.35">
      <c r="A8" s="4">
        <v>46208</v>
      </c>
      <c r="B8" s="5">
        <f>Table113[[#This Row],[Comp E75 -1
Run Hr]]-C7</f>
        <v>0</v>
      </c>
      <c r="C8" s="7">
        <f>'PowerHouse Data'!$I$4</f>
        <v>3756</v>
      </c>
      <c r="D8" s="13">
        <f>$N$3-Table113[[#This Row],[Comp E75 -1
Run Hr]]</f>
        <v>1684</v>
      </c>
      <c r="E8" s="5">
        <f>Table113[[#This Row],[Comp E75 -2
Run Hr]]-F7</f>
        <v>0</v>
      </c>
      <c r="F8" s="7">
        <f>'PowerHouse Data'!$I$5</f>
        <v>6475</v>
      </c>
      <c r="G8" s="13">
        <f>$O$3-Table113[[#This Row],[Comp E75 -2
Run Hr]]</f>
        <v>1591</v>
      </c>
      <c r="H8" s="5">
        <f>Table113[[#This Row],[Comp E75 -3
Run Hr]]-I7</f>
        <v>0</v>
      </c>
      <c r="I8" s="7">
        <f>'PowerHouse Data'!$I$6</f>
        <v>628</v>
      </c>
      <c r="J8" s="13">
        <f>$P$3-Table113[[#This Row],[Comp E75 -3
Run Hr]]</f>
        <v>3372</v>
      </c>
      <c r="K8" s="5">
        <f>Table113[[#This Row],[Comp E55 Run Hr]]-L7</f>
        <v>0</v>
      </c>
      <c r="L8" s="7">
        <f>'PowerHouse Data'!$I$7</f>
        <v>25850</v>
      </c>
      <c r="M8" s="13">
        <f>$Q$3-Table113[[#This Row],[Comp E55 Run Hr]]</f>
        <v>1080</v>
      </c>
      <c r="N8" s="28"/>
      <c r="O8" s="28"/>
      <c r="P8" s="28"/>
      <c r="Q8" s="28"/>
    </row>
    <row r="9" spans="1:17" x14ac:dyDescent="0.35">
      <c r="A9" s="4">
        <v>46209</v>
      </c>
      <c r="B9" s="5">
        <f>Table113[[#This Row],[Comp E75 -1
Run Hr]]-C8</f>
        <v>9</v>
      </c>
      <c r="C9" s="7">
        <f>'PowerHouse Data'!$J$4</f>
        <v>3765</v>
      </c>
      <c r="D9" s="13">
        <f>$N$3-Table113[[#This Row],[Comp E75 -1
Run Hr]]</f>
        <v>1675</v>
      </c>
      <c r="E9" s="5">
        <f>Table113[[#This Row],[Comp E75 -2
Run Hr]]-F8</f>
        <v>22</v>
      </c>
      <c r="F9" s="7">
        <f>'PowerHouse Data'!$J$5</f>
        <v>6497</v>
      </c>
      <c r="G9" s="13">
        <f>$O$3-Table113[[#This Row],[Comp E75 -2
Run Hr]]</f>
        <v>1569</v>
      </c>
      <c r="H9" s="5">
        <f>Table113[[#This Row],[Comp E75 -3
Run Hr]]-I8</f>
        <v>14</v>
      </c>
      <c r="I9" s="7">
        <f>'PowerHouse Data'!$J$6</f>
        <v>642</v>
      </c>
      <c r="J9" s="13">
        <f>$P$3-Table113[[#This Row],[Comp E75 -3
Run Hr]]</f>
        <v>3358</v>
      </c>
      <c r="K9" s="5">
        <f>Table113[[#This Row],[Comp E55 Run Hr]]-L8</f>
        <v>0</v>
      </c>
      <c r="L9" s="7">
        <f>'PowerHouse Data'!$J$7</f>
        <v>25850</v>
      </c>
      <c r="M9" s="13">
        <f>$Q$3-Table113[[#This Row],[Comp E55 Run Hr]]</f>
        <v>1080</v>
      </c>
      <c r="N9" s="28"/>
      <c r="O9" s="28"/>
      <c r="P9" s="28"/>
      <c r="Q9" s="28"/>
    </row>
    <row r="10" spans="1:17" x14ac:dyDescent="0.35">
      <c r="A10" s="4">
        <v>46210</v>
      </c>
      <c r="B10" s="5">
        <f>Table113[[#This Row],[Comp E75 -1
Run Hr]]-C9</f>
        <v>0</v>
      </c>
      <c r="C10" s="7">
        <f>'PowerHouse Data'!$K$4</f>
        <v>3765</v>
      </c>
      <c r="D10" s="13">
        <f>$N$3-Table113[[#This Row],[Comp E75 -1
Run Hr]]</f>
        <v>1675</v>
      </c>
      <c r="E10" s="5">
        <f>Table113[[#This Row],[Comp E75 -2
Run Hr]]-F9</f>
        <v>24</v>
      </c>
      <c r="F10" s="7">
        <f>'PowerHouse Data'!$K$5</f>
        <v>6521</v>
      </c>
      <c r="G10" s="13">
        <f>$O$3-Table113[[#This Row],[Comp E75 -2
Run Hr]]</f>
        <v>1545</v>
      </c>
      <c r="H10" s="5">
        <f>Table113[[#This Row],[Comp E75 -3
Run Hr]]-I9</f>
        <v>23</v>
      </c>
      <c r="I10" s="7">
        <f>'PowerHouse Data'!$K$6</f>
        <v>665</v>
      </c>
      <c r="J10" s="13">
        <f>$P$3-Table113[[#This Row],[Comp E75 -3
Run Hr]]</f>
        <v>3335</v>
      </c>
      <c r="K10" s="5">
        <f>Table113[[#This Row],[Comp E55 Run Hr]]-L9</f>
        <v>0</v>
      </c>
      <c r="L10" s="7">
        <f>'PowerHouse Data'!$K$7</f>
        <v>25850</v>
      </c>
      <c r="M10" s="13">
        <f>$Q$3-Table113[[#This Row],[Comp E55 Run Hr]]</f>
        <v>1080</v>
      </c>
      <c r="N10" s="28"/>
      <c r="O10" s="28"/>
      <c r="P10" s="28"/>
      <c r="Q10" s="28"/>
    </row>
    <row r="11" spans="1:17" x14ac:dyDescent="0.35">
      <c r="A11" s="4">
        <v>46211</v>
      </c>
      <c r="B11" s="5">
        <f>Table113[[#This Row],[Comp E75 -1
Run Hr]]-C10</f>
        <v>23</v>
      </c>
      <c r="C11" s="7">
        <f>'PowerHouse Data'!$L$4</f>
        <v>3788</v>
      </c>
      <c r="D11" s="13">
        <f>$N$3-Table113[[#This Row],[Comp E75 -1
Run Hr]]</f>
        <v>1652</v>
      </c>
      <c r="E11" s="5">
        <f>Table113[[#This Row],[Comp E75 -2
Run Hr]]-F10</f>
        <v>0</v>
      </c>
      <c r="F11" s="7">
        <f>'PowerHouse Data'!$L$5</f>
        <v>6521</v>
      </c>
      <c r="G11" s="13">
        <f>$O$3-Table113[[#This Row],[Comp E75 -2
Run Hr]]</f>
        <v>1545</v>
      </c>
      <c r="H11" s="5">
        <f>Table113[[#This Row],[Comp E75 -3
Run Hr]]-I10</f>
        <v>23</v>
      </c>
      <c r="I11" s="7">
        <f>'PowerHouse Data'!$L$6</f>
        <v>688</v>
      </c>
      <c r="J11" s="13">
        <f>$P$3-Table113[[#This Row],[Comp E75 -3
Run Hr]]</f>
        <v>3312</v>
      </c>
      <c r="K11" s="5">
        <f>Table113[[#This Row],[Comp E55 Run Hr]]-L10</f>
        <v>0</v>
      </c>
      <c r="L11" s="7">
        <f>'PowerHouse Data'!$L$7</f>
        <v>25850</v>
      </c>
      <c r="M11" s="13">
        <f>$Q$3-Table113[[#This Row],[Comp E55 Run Hr]]</f>
        <v>1080</v>
      </c>
      <c r="N11" s="28"/>
      <c r="O11" s="28"/>
      <c r="P11" s="28"/>
      <c r="Q11" s="28"/>
    </row>
    <row r="12" spans="1:17" x14ac:dyDescent="0.35">
      <c r="A12" s="4">
        <v>46212</v>
      </c>
      <c r="B12" s="5">
        <f>Table113[[#This Row],[Comp E75 -1
Run Hr]]-C11</f>
        <v>24</v>
      </c>
      <c r="C12" s="7">
        <f>'PowerHouse Data'!$M$4</f>
        <v>3812</v>
      </c>
      <c r="D12" s="13">
        <f>$N$3-Table113[[#This Row],[Comp E75 -1
Run Hr]]</f>
        <v>1628</v>
      </c>
      <c r="E12" s="5">
        <f>Table113[[#This Row],[Comp E75 -2
Run Hr]]-F11</f>
        <v>24</v>
      </c>
      <c r="F12" s="7">
        <f>'PowerHouse Data'!$M$5</f>
        <v>6545</v>
      </c>
      <c r="G12" s="13">
        <f>$O$3-Table113[[#This Row],[Comp E75 -2
Run Hr]]</f>
        <v>1521</v>
      </c>
      <c r="H12" s="5">
        <f>Table113[[#This Row],[Comp E75 -3
Run Hr]]-I11</f>
        <v>0</v>
      </c>
      <c r="I12" s="7">
        <f>'PowerHouse Data'!$M$6</f>
        <v>688</v>
      </c>
      <c r="J12" s="13">
        <f>$P$3-Table113[[#This Row],[Comp E75 -3
Run Hr]]</f>
        <v>3312</v>
      </c>
      <c r="K12" s="5">
        <f>Table113[[#This Row],[Comp E55 Run Hr]]-L11</f>
        <v>0</v>
      </c>
      <c r="L12" s="7">
        <f>'PowerHouse Data'!$M$7</f>
        <v>25850</v>
      </c>
      <c r="M12" s="13">
        <f>$Q$3-Table113[[#This Row],[Comp E55 Run Hr]]</f>
        <v>1080</v>
      </c>
      <c r="N12" s="28"/>
      <c r="O12" s="28"/>
      <c r="P12" s="28"/>
      <c r="Q12" s="28"/>
    </row>
    <row r="13" spans="1:17" x14ac:dyDescent="0.35">
      <c r="A13" s="4">
        <v>46213</v>
      </c>
      <c r="B13" s="5">
        <f>Table113[[#This Row],[Comp E75 -1
Run Hr]]-C12</f>
        <v>0</v>
      </c>
      <c r="C13" s="7">
        <f>'PowerHouse Data'!$N$4</f>
        <v>3812</v>
      </c>
      <c r="D13" s="13">
        <f>$N$3-Table113[[#This Row],[Comp E75 -1
Run Hr]]</f>
        <v>1628</v>
      </c>
      <c r="E13" s="5">
        <f>Table113[[#This Row],[Comp E75 -2
Run Hr]]-F12</f>
        <v>0</v>
      </c>
      <c r="F13" s="7">
        <f>'PowerHouse Data'!$N$5</f>
        <v>6545</v>
      </c>
      <c r="G13" s="13">
        <f>$O$3-Table113[[#This Row],[Comp E75 -2
Run Hr]]</f>
        <v>1521</v>
      </c>
      <c r="H13" s="5">
        <f>Table113[[#This Row],[Comp E75 -3
Run Hr]]-I12</f>
        <v>24</v>
      </c>
      <c r="I13" s="7">
        <f>'PowerHouse Data'!$N$6</f>
        <v>712</v>
      </c>
      <c r="J13" s="13">
        <f>$P$3-Table113[[#This Row],[Comp E75 -3
Run Hr]]</f>
        <v>3288</v>
      </c>
      <c r="K13" s="5">
        <f>Table113[[#This Row],[Comp E55 Run Hr]]-L12</f>
        <v>0</v>
      </c>
      <c r="L13" s="7">
        <f>'PowerHouse Data'!$N$7</f>
        <v>25850</v>
      </c>
      <c r="M13" s="13">
        <f>$Q$3-Table113[[#This Row],[Comp E55 Run Hr]]</f>
        <v>1080</v>
      </c>
      <c r="N13" s="28"/>
      <c r="O13" s="28"/>
      <c r="P13" s="28"/>
      <c r="Q13" s="28"/>
    </row>
    <row r="14" spans="1:17" x14ac:dyDescent="0.35">
      <c r="A14" s="4">
        <v>46214</v>
      </c>
      <c r="B14" s="5">
        <f>Table113[[#This Row],[Comp E75 -1
Run Hr]]-C13</f>
        <v>0</v>
      </c>
      <c r="C14" s="7">
        <f>'PowerHouse Data'!$O$4</f>
        <v>3812</v>
      </c>
      <c r="D14" s="13">
        <f>$N$3-Table113[[#This Row],[Comp E75 -1
Run Hr]]</f>
        <v>1628</v>
      </c>
      <c r="E14" s="5">
        <f>Table113[[#This Row],[Comp E75 -2
Run Hr]]-F13</f>
        <v>14</v>
      </c>
      <c r="F14" s="7">
        <f>'PowerHouse Data'!$O$5</f>
        <v>6559</v>
      </c>
      <c r="G14" s="13">
        <f>$O$3-Table113[[#This Row],[Comp E75 -2
Run Hr]]</f>
        <v>1507</v>
      </c>
      <c r="H14" s="5">
        <f>Table113[[#This Row],[Comp E75 -3
Run Hr]]-I13</f>
        <v>0</v>
      </c>
      <c r="I14" s="7">
        <f>'PowerHouse Data'!$O$6</f>
        <v>712</v>
      </c>
      <c r="J14" s="13">
        <f>$P$3-Table113[[#This Row],[Comp E75 -3
Run Hr]]</f>
        <v>3288</v>
      </c>
      <c r="K14" s="5">
        <f>Table113[[#This Row],[Comp E55 Run Hr]]-L13</f>
        <v>11</v>
      </c>
      <c r="L14" s="7">
        <f>'PowerHouse Data'!$O$7</f>
        <v>25861</v>
      </c>
      <c r="M14" s="13">
        <f>$Q$3-Table113[[#This Row],[Comp E55 Run Hr]]</f>
        <v>1069</v>
      </c>
      <c r="N14" s="28"/>
      <c r="O14" s="28"/>
      <c r="P14" s="28"/>
      <c r="Q14" s="28"/>
    </row>
    <row r="15" spans="1:17" x14ac:dyDescent="0.35">
      <c r="A15" s="4">
        <v>46215</v>
      </c>
      <c r="B15" s="5">
        <f>Table113[[#This Row],[Comp E75 -1
Run Hr]]-C14</f>
        <v>0</v>
      </c>
      <c r="C15" s="7">
        <f>'PowerHouse Data'!$P$4</f>
        <v>3812</v>
      </c>
      <c r="D15" s="13">
        <f>$N$3-Table113[[#This Row],[Comp E75 -1
Run Hr]]</f>
        <v>1628</v>
      </c>
      <c r="E15" s="5">
        <f>Table113[[#This Row],[Comp E75 -2
Run Hr]]-F14</f>
        <v>0</v>
      </c>
      <c r="F15" s="7">
        <f>'PowerHouse Data'!$P$5</f>
        <v>6559</v>
      </c>
      <c r="G15" s="13">
        <f>$O$3-Table113[[#This Row],[Comp E75 -2
Run Hr]]</f>
        <v>1507</v>
      </c>
      <c r="H15" s="5">
        <f>Table113[[#This Row],[Comp E75 -3
Run Hr]]-I14</f>
        <v>0</v>
      </c>
      <c r="I15" s="7">
        <f>'PowerHouse Data'!$P$6</f>
        <v>712</v>
      </c>
      <c r="J15" s="13">
        <f>$P$3-Table113[[#This Row],[Comp E75 -3
Run Hr]]</f>
        <v>3288</v>
      </c>
      <c r="K15" s="5">
        <f>Table113[[#This Row],[Comp E55 Run Hr]]-L14</f>
        <v>24</v>
      </c>
      <c r="L15" s="7">
        <f>'PowerHouse Data'!$P$7</f>
        <v>25885</v>
      </c>
      <c r="M15" s="13">
        <f>$Q$3-Table113[[#This Row],[Comp E55 Run Hr]]</f>
        <v>1045</v>
      </c>
      <c r="N15" s="28"/>
      <c r="O15" s="28"/>
      <c r="P15" s="28"/>
      <c r="Q15" s="28"/>
    </row>
    <row r="16" spans="1:17" x14ac:dyDescent="0.35">
      <c r="A16" s="4">
        <v>46216</v>
      </c>
      <c r="B16" s="5">
        <f>Table113[[#This Row],[Comp E75 -1
Run Hr]]-C15</f>
        <v>21</v>
      </c>
      <c r="C16" s="7">
        <f>'PowerHouse Data'!$Q$4</f>
        <v>3833</v>
      </c>
      <c r="D16" s="13">
        <f>$N$3-Table113[[#This Row],[Comp E75 -1
Run Hr]]</f>
        <v>1607</v>
      </c>
      <c r="E16" s="5">
        <f>Table113[[#This Row],[Comp E75 -2
Run Hr]]-F15</f>
        <v>23</v>
      </c>
      <c r="F16" s="7">
        <f>'PowerHouse Data'!$Q$5</f>
        <v>6582</v>
      </c>
      <c r="G16" s="13">
        <f>$O$3-Table113[[#This Row],[Comp E75 -2
Run Hr]]</f>
        <v>1484</v>
      </c>
      <c r="H16" s="5">
        <f>Table113[[#This Row],[Comp E75 -3
Run Hr]]-I15</f>
        <v>0</v>
      </c>
      <c r="I16" s="7">
        <f>'PowerHouse Data'!$Q$6</f>
        <v>712</v>
      </c>
      <c r="J16" s="13">
        <f>$P$3-Table113[[#This Row],[Comp E75 -3
Run Hr]]</f>
        <v>3288</v>
      </c>
      <c r="K16" s="5">
        <f>Table113[[#This Row],[Comp E55 Run Hr]]-L15</f>
        <v>0</v>
      </c>
      <c r="L16" s="7">
        <f>'PowerHouse Data'!$Q$7</f>
        <v>25885</v>
      </c>
      <c r="M16" s="13">
        <f>$Q$3-Table113[[#This Row],[Comp E55 Run Hr]]</f>
        <v>1045</v>
      </c>
      <c r="N16" s="28"/>
      <c r="O16" s="28"/>
      <c r="P16" s="28"/>
      <c r="Q16" s="28"/>
    </row>
    <row r="17" spans="1:17" x14ac:dyDescent="0.35">
      <c r="A17" s="4">
        <v>46217</v>
      </c>
      <c r="B17" s="5">
        <f>Table113[[#This Row],[Comp E75 -1
Run Hr]]-C16</f>
        <v>0</v>
      </c>
      <c r="C17" s="7">
        <f>'PowerHouse Data'!$R$4</f>
        <v>3833</v>
      </c>
      <c r="D17" s="13">
        <f>$N$3-Table113[[#This Row],[Comp E75 -1
Run Hr]]</f>
        <v>1607</v>
      </c>
      <c r="E17" s="5">
        <f>Table113[[#This Row],[Comp E75 -2
Run Hr]]-F16</f>
        <v>24</v>
      </c>
      <c r="F17" s="7">
        <f>'PowerHouse Data'!$R$5</f>
        <v>6606</v>
      </c>
      <c r="G17" s="13">
        <f>$O$3-Table113[[#This Row],[Comp E75 -2
Run Hr]]</f>
        <v>1460</v>
      </c>
      <c r="H17" s="5">
        <f>Table113[[#This Row],[Comp E75 -3
Run Hr]]-I16</f>
        <v>22</v>
      </c>
      <c r="I17" s="7">
        <f>'PowerHouse Data'!$R$6</f>
        <v>734</v>
      </c>
      <c r="J17" s="13">
        <f>$P$3-Table113[[#This Row],[Comp E75 -3
Run Hr]]</f>
        <v>3266</v>
      </c>
      <c r="K17" s="5">
        <f>Table113[[#This Row],[Comp E55 Run Hr]]-L16</f>
        <v>0</v>
      </c>
      <c r="L17" s="7">
        <f>'PowerHouse Data'!$R$7</f>
        <v>25885</v>
      </c>
      <c r="M17" s="13">
        <f>$Q$3-Table113[[#This Row],[Comp E55 Run Hr]]</f>
        <v>1045</v>
      </c>
      <c r="N17" s="28"/>
      <c r="O17" s="28"/>
      <c r="P17" s="28"/>
      <c r="Q17" s="28"/>
    </row>
    <row r="18" spans="1:17" x14ac:dyDescent="0.35">
      <c r="A18" s="4">
        <v>46218</v>
      </c>
      <c r="B18" s="5">
        <f>Table113[[#This Row],[Comp E75 -1
Run Hr]]-C17</f>
        <v>24</v>
      </c>
      <c r="C18" s="7">
        <f>'PowerHouse Data'!$S$4</f>
        <v>3857</v>
      </c>
      <c r="D18" s="13">
        <f>$N$3-Table113[[#This Row],[Comp E75 -1
Run Hr]]</f>
        <v>1583</v>
      </c>
      <c r="E18" s="5">
        <f>Table113[[#This Row],[Comp E75 -2
Run Hr]]-F17</f>
        <v>0</v>
      </c>
      <c r="F18" s="7">
        <f>'PowerHouse Data'!$S$5</f>
        <v>6606</v>
      </c>
      <c r="G18" s="13">
        <f>$O$3-Table113[[#This Row],[Comp E75 -2
Run Hr]]</f>
        <v>1460</v>
      </c>
      <c r="H18" s="5">
        <f>Table113[[#This Row],[Comp E75 -3
Run Hr]]-I17</f>
        <v>24</v>
      </c>
      <c r="I18" s="7">
        <f>'PowerHouse Data'!$S$6</f>
        <v>758</v>
      </c>
      <c r="J18" s="13">
        <f>$P$3-Table113[[#This Row],[Comp E75 -3
Run Hr]]</f>
        <v>3242</v>
      </c>
      <c r="K18" s="5">
        <f>Table113[[#This Row],[Comp E55 Run Hr]]-L17</f>
        <v>0</v>
      </c>
      <c r="L18" s="7">
        <f>'PowerHouse Data'!$S$7</f>
        <v>25885</v>
      </c>
      <c r="M18" s="13">
        <f>$Q$3-Table113[[#This Row],[Comp E55 Run Hr]]</f>
        <v>1045</v>
      </c>
      <c r="N18" s="28"/>
      <c r="O18" s="28"/>
      <c r="P18" s="28"/>
      <c r="Q18" s="28"/>
    </row>
    <row r="19" spans="1:17" x14ac:dyDescent="0.35">
      <c r="A19" s="4">
        <v>46219</v>
      </c>
      <c r="B19" s="5">
        <f>Table113[[#This Row],[Comp E75 -1
Run Hr]]-C18</f>
        <v>23</v>
      </c>
      <c r="C19" s="7">
        <f>'PowerHouse Data'!$T$4</f>
        <v>3880</v>
      </c>
      <c r="D19" s="13">
        <f>$N$3-Table113[[#This Row],[Comp E75 -1
Run Hr]]</f>
        <v>1560</v>
      </c>
      <c r="E19" s="5">
        <f>Table113[[#This Row],[Comp E75 -2
Run Hr]]-F18</f>
        <v>24</v>
      </c>
      <c r="F19" s="7">
        <f>'PowerHouse Data'!$T$5</f>
        <v>6630</v>
      </c>
      <c r="G19" s="13">
        <f>$O$3-Table113[[#This Row],[Comp E75 -2
Run Hr]]</f>
        <v>1436</v>
      </c>
      <c r="H19" s="5">
        <f>Table113[[#This Row],[Comp E75 -3
Run Hr]]-I18</f>
        <v>0</v>
      </c>
      <c r="I19" s="7">
        <f>'PowerHouse Data'!$T$6</f>
        <v>758</v>
      </c>
      <c r="J19" s="13">
        <f>$P$3-Table113[[#This Row],[Comp E75 -3
Run Hr]]</f>
        <v>3242</v>
      </c>
      <c r="K19" s="5">
        <f>Table113[[#This Row],[Comp E55 Run Hr]]-L18</f>
        <v>1</v>
      </c>
      <c r="L19" s="7">
        <f>'PowerHouse Data'!$T$7</f>
        <v>25886</v>
      </c>
      <c r="M19" s="13">
        <f>$Q$3-Table113[[#This Row],[Comp E55 Run Hr]]</f>
        <v>1044</v>
      </c>
      <c r="N19" s="28"/>
      <c r="O19" s="28"/>
      <c r="P19" s="28"/>
      <c r="Q19" s="28"/>
    </row>
    <row r="20" spans="1:17" x14ac:dyDescent="0.35">
      <c r="A20" s="4">
        <v>46220</v>
      </c>
      <c r="B20" s="5">
        <f>Table113[[#This Row],[Comp E75 -1
Run Hr]]-C19</f>
        <v>0</v>
      </c>
      <c r="C20" s="7">
        <f>'PowerHouse Data'!$U$4</f>
        <v>3880</v>
      </c>
      <c r="D20" s="13">
        <f>$N$3-Table113[[#This Row],[Comp E75 -1
Run Hr]]</f>
        <v>1560</v>
      </c>
      <c r="E20" s="5">
        <f>Table113[[#This Row],[Comp E75 -2
Run Hr]]-F19</f>
        <v>22</v>
      </c>
      <c r="F20" s="7">
        <f>'PowerHouse Data'!$U$5</f>
        <v>6652</v>
      </c>
      <c r="G20" s="13">
        <f>$O$3-Table113[[#This Row],[Comp E75 -2
Run Hr]]</f>
        <v>1414</v>
      </c>
      <c r="H20" s="5">
        <f>Table113[[#This Row],[Comp E75 -3
Run Hr]]-I19</f>
        <v>23</v>
      </c>
      <c r="I20" s="7">
        <f>'PowerHouse Data'!$U$6</f>
        <v>781</v>
      </c>
      <c r="J20" s="13">
        <f>$P$3-Table113[[#This Row],[Comp E75 -3
Run Hr]]</f>
        <v>3219</v>
      </c>
      <c r="K20" s="5">
        <f>Table113[[#This Row],[Comp E55 Run Hr]]-L19</f>
        <v>0</v>
      </c>
      <c r="L20" s="7">
        <f>'PowerHouse Data'!$U$7</f>
        <v>25886</v>
      </c>
      <c r="M20" s="13">
        <f>$Q$3-Table113[[#This Row],[Comp E55 Run Hr]]</f>
        <v>1044</v>
      </c>
      <c r="N20" s="28"/>
      <c r="O20" s="28"/>
      <c r="P20" s="28"/>
      <c r="Q20" s="28"/>
    </row>
    <row r="21" spans="1:17" x14ac:dyDescent="0.35">
      <c r="A21" s="4">
        <v>46221</v>
      </c>
      <c r="B21" s="5">
        <f>Table113[[#This Row],[Comp E75 -1
Run Hr]]-C20</f>
        <v>2</v>
      </c>
      <c r="C21" s="7">
        <f>'PowerHouse Data'!$V$4</f>
        <v>3882</v>
      </c>
      <c r="D21" s="13">
        <f>$N$3-Table113[[#This Row],[Comp E75 -1
Run Hr]]</f>
        <v>1558</v>
      </c>
      <c r="E21" s="5">
        <f>Table113[[#This Row],[Comp E75 -2
Run Hr]]-F20</f>
        <v>0</v>
      </c>
      <c r="F21" s="7">
        <f>'PowerHouse Data'!$V$5</f>
        <v>6652</v>
      </c>
      <c r="G21" s="13">
        <f>$O$3-Table113[[#This Row],[Comp E75 -2
Run Hr]]</f>
        <v>1414</v>
      </c>
      <c r="H21" s="5">
        <f>Table113[[#This Row],[Comp E75 -3
Run Hr]]-I20</f>
        <v>24</v>
      </c>
      <c r="I21" s="7">
        <f>'PowerHouse Data'!$V$6</f>
        <v>805</v>
      </c>
      <c r="J21" s="13">
        <f>$P$3-Table113[[#This Row],[Comp E75 -3
Run Hr]]</f>
        <v>3195</v>
      </c>
      <c r="K21" s="5">
        <f>Table113[[#This Row],[Comp E55 Run Hr]]-L20</f>
        <v>0</v>
      </c>
      <c r="L21" s="7">
        <f>'PowerHouse Data'!$V$7</f>
        <v>25886</v>
      </c>
      <c r="M21" s="13">
        <f>$Q$3-Table113[[#This Row],[Comp E55 Run Hr]]</f>
        <v>1044</v>
      </c>
      <c r="N21" s="28"/>
      <c r="O21" s="28"/>
      <c r="P21" s="28"/>
      <c r="Q21" s="28"/>
    </row>
    <row r="22" spans="1:17" x14ac:dyDescent="0.35">
      <c r="A22" s="4">
        <v>46222</v>
      </c>
      <c r="B22" s="5">
        <f>Table113[[#This Row],[Comp E75 -1
Run Hr]]-C21</f>
        <v>0</v>
      </c>
      <c r="C22" s="7">
        <f>'PowerHouse Data'!$W$4</f>
        <v>3882</v>
      </c>
      <c r="D22" s="13">
        <f>$N$3-Table113[[#This Row],[Comp E75 -1
Run Hr]]</f>
        <v>1558</v>
      </c>
      <c r="E22" s="5">
        <f>Table113[[#This Row],[Comp E75 -2
Run Hr]]-F21</f>
        <v>0</v>
      </c>
      <c r="F22" s="7">
        <f>'PowerHouse Data'!$W$5</f>
        <v>6652</v>
      </c>
      <c r="G22" s="13">
        <f>$O$3-Table113[[#This Row],[Comp E75 -2
Run Hr]]</f>
        <v>1414</v>
      </c>
      <c r="H22" s="5">
        <f>Table113[[#This Row],[Comp E75 -3
Run Hr]]-I21</f>
        <v>0</v>
      </c>
      <c r="I22" s="7">
        <f>'PowerHouse Data'!$W$6</f>
        <v>805</v>
      </c>
      <c r="J22" s="13">
        <f>$P$3-Table113[[#This Row],[Comp E75 -3
Run Hr]]</f>
        <v>3195</v>
      </c>
      <c r="K22" s="5">
        <f>Table113[[#This Row],[Comp E55 Run Hr]]-L21</f>
        <v>0</v>
      </c>
      <c r="L22" s="7">
        <f>'PowerHouse Data'!$W$7</f>
        <v>25886</v>
      </c>
      <c r="M22" s="13">
        <f>$Q$3-Table113[[#This Row],[Comp E55 Run Hr]]</f>
        <v>1044</v>
      </c>
      <c r="N22" s="28"/>
      <c r="O22" s="28"/>
      <c r="P22" s="28"/>
      <c r="Q22" s="28"/>
    </row>
    <row r="23" spans="1:17" x14ac:dyDescent="0.35">
      <c r="A23" s="4">
        <v>46223</v>
      </c>
      <c r="B23" s="5">
        <f>Table113[[#This Row],[Comp E75 -1
Run Hr]]-C22</f>
        <v>22</v>
      </c>
      <c r="C23" s="7">
        <f>'PowerHouse Data'!$X$4</f>
        <v>3904</v>
      </c>
      <c r="D23" s="13">
        <f>$N$3-Table113[[#This Row],[Comp E75 -1
Run Hr]]</f>
        <v>1536</v>
      </c>
      <c r="E23" s="5">
        <f>Table113[[#This Row],[Comp E75 -2
Run Hr]]-F22</f>
        <v>24</v>
      </c>
      <c r="F23" s="7">
        <f>'PowerHouse Data'!$X$5</f>
        <v>6676</v>
      </c>
      <c r="G23" s="13">
        <f>$O$3-Table113[[#This Row],[Comp E75 -2
Run Hr]]</f>
        <v>1390</v>
      </c>
      <c r="H23" s="5">
        <f>Table113[[#This Row],[Comp E75 -3
Run Hr]]-I22</f>
        <v>0</v>
      </c>
      <c r="I23" s="7">
        <f>'PowerHouse Data'!$X$6</f>
        <v>805</v>
      </c>
      <c r="J23" s="13">
        <f>$P$3-Table113[[#This Row],[Comp E75 -3
Run Hr]]</f>
        <v>3195</v>
      </c>
      <c r="K23" s="5">
        <f>Table113[[#This Row],[Comp E55 Run Hr]]-L22</f>
        <v>0</v>
      </c>
      <c r="L23" s="7">
        <f>'PowerHouse Data'!$X$7</f>
        <v>25886</v>
      </c>
      <c r="M23" s="13">
        <f>$Q$3-Table113[[#This Row],[Comp E55 Run Hr]]</f>
        <v>1044</v>
      </c>
      <c r="N23" s="28"/>
      <c r="O23" s="28"/>
      <c r="P23" s="28"/>
      <c r="Q23" s="28"/>
    </row>
    <row r="24" spans="1:17" x14ac:dyDescent="0.35">
      <c r="A24" s="4">
        <v>46224</v>
      </c>
      <c r="B24" s="5">
        <f>Table113[[#This Row],[Comp E75 -1
Run Hr]]-C23</f>
        <v>0</v>
      </c>
      <c r="C24" s="7">
        <f>'PowerHouse Data'!$Y$4</f>
        <v>3904</v>
      </c>
      <c r="D24" s="13">
        <f>$N$3-Table113[[#This Row],[Comp E75 -1
Run Hr]]</f>
        <v>1536</v>
      </c>
      <c r="E24" s="5">
        <f>Table113[[#This Row],[Comp E75 -2
Run Hr]]-F23</f>
        <v>24</v>
      </c>
      <c r="F24" s="7">
        <f>'PowerHouse Data'!$Y$5</f>
        <v>6700</v>
      </c>
      <c r="G24" s="13">
        <f>$O$3-Table113[[#This Row],[Comp E75 -2
Run Hr]]</f>
        <v>1366</v>
      </c>
      <c r="H24" s="5">
        <f>Table113[[#This Row],[Comp E75 -3
Run Hr]]-I23</f>
        <v>23</v>
      </c>
      <c r="I24" s="7">
        <f>'PowerHouse Data'!$Y$6</f>
        <v>828</v>
      </c>
      <c r="J24" s="13">
        <f>$P$3-Table113[[#This Row],[Comp E75 -3
Run Hr]]</f>
        <v>3172</v>
      </c>
      <c r="K24" s="5">
        <f>Table113[[#This Row],[Comp E55 Run Hr]]-L23</f>
        <v>0</v>
      </c>
      <c r="L24" s="7">
        <f>'PowerHouse Data'!$Y$7</f>
        <v>25886</v>
      </c>
      <c r="M24" s="13">
        <f>$Q$3-Table113[[#This Row],[Comp E55 Run Hr]]</f>
        <v>1044</v>
      </c>
      <c r="N24" s="28"/>
      <c r="O24" s="28"/>
      <c r="P24" s="28"/>
      <c r="Q24" s="28"/>
    </row>
    <row r="25" spans="1:17" x14ac:dyDescent="0.35">
      <c r="A25" s="4">
        <v>46225</v>
      </c>
      <c r="B25" s="5">
        <f>Table113[[#This Row],[Comp E75 -1
Run Hr]]-C24</f>
        <v>23</v>
      </c>
      <c r="C25" s="7">
        <f>'PowerHouse Data'!$Z$4</f>
        <v>3927</v>
      </c>
      <c r="D25" s="13">
        <f>$N$3-Table113[[#This Row],[Comp E75 -1
Run Hr]]</f>
        <v>1513</v>
      </c>
      <c r="E25" s="5">
        <f>Table113[[#This Row],[Comp E75 -2
Run Hr]]-F24</f>
        <v>0</v>
      </c>
      <c r="F25" s="7">
        <f>'PowerHouse Data'!$Z$5</f>
        <v>6700</v>
      </c>
      <c r="G25" s="13">
        <f>$O$3-Table113[[#This Row],[Comp E75 -2
Run Hr]]</f>
        <v>1366</v>
      </c>
      <c r="H25" s="5">
        <f>Table113[[#This Row],[Comp E75 -3
Run Hr]]-I24</f>
        <v>24</v>
      </c>
      <c r="I25" s="7">
        <f>'PowerHouse Data'!$Z$6</f>
        <v>852</v>
      </c>
      <c r="J25" s="13">
        <f>$P$3-Table113[[#This Row],[Comp E75 -3
Run Hr]]</f>
        <v>3148</v>
      </c>
      <c r="K25" s="5">
        <f>Table113[[#This Row],[Comp E55 Run Hr]]-L24</f>
        <v>0</v>
      </c>
      <c r="L25" s="7">
        <f>'PowerHouse Data'!$Z$7</f>
        <v>25886</v>
      </c>
      <c r="M25" s="13">
        <f>$Q$3-Table113[[#This Row],[Comp E55 Run Hr]]</f>
        <v>1044</v>
      </c>
      <c r="N25" s="28"/>
      <c r="O25" s="28"/>
      <c r="P25" s="28"/>
      <c r="Q25" s="28"/>
    </row>
    <row r="26" spans="1:17" x14ac:dyDescent="0.35">
      <c r="A26" s="4">
        <v>46226</v>
      </c>
      <c r="B26" s="5">
        <f>Table113[[#This Row],[Comp E75 -1
Run Hr]]-C25</f>
        <v>14</v>
      </c>
      <c r="C26" s="7">
        <f>'PowerHouse Data'!$AA$4</f>
        <v>3941</v>
      </c>
      <c r="D26" s="13">
        <f>$N$3-Table113[[#This Row],[Comp E75 -1
Run Hr]]</f>
        <v>1499</v>
      </c>
      <c r="E26" s="5">
        <f>Table113[[#This Row],[Comp E75 -2
Run Hr]]-F25</f>
        <v>23</v>
      </c>
      <c r="F26" s="7">
        <f>'PowerHouse Data'!$AA$5</f>
        <v>6723</v>
      </c>
      <c r="G26" s="13">
        <f>$O$3-Table113[[#This Row],[Comp E75 -2
Run Hr]]</f>
        <v>1343</v>
      </c>
      <c r="H26" s="5">
        <f>Table113[[#This Row],[Comp E75 -3
Run Hr]]-I25</f>
        <v>5</v>
      </c>
      <c r="I26" s="7">
        <f>'PowerHouse Data'!$AA$6</f>
        <v>857</v>
      </c>
      <c r="J26" s="13">
        <f>$P$3-Table113[[#This Row],[Comp E75 -3
Run Hr]]</f>
        <v>3143</v>
      </c>
      <c r="K26" s="5">
        <f>Table113[[#This Row],[Comp E55 Run Hr]]-L25</f>
        <v>0</v>
      </c>
      <c r="L26" s="7">
        <f>'PowerHouse Data'!$AA$7</f>
        <v>25886</v>
      </c>
      <c r="M26" s="13">
        <f>$Q$3-Table113[[#This Row],[Comp E55 Run Hr]]</f>
        <v>1044</v>
      </c>
      <c r="N26" s="28"/>
      <c r="O26" s="28"/>
      <c r="P26" s="28"/>
      <c r="Q26" s="28"/>
    </row>
    <row r="27" spans="1:17" x14ac:dyDescent="0.35">
      <c r="A27" s="4">
        <v>46227</v>
      </c>
      <c r="B27" s="5">
        <f>Table113[[#This Row],[Comp E75 -1
Run Hr]]-C26</f>
        <v>0</v>
      </c>
      <c r="C27" s="7">
        <f>'PowerHouse Data'!$AB$4</f>
        <v>3941</v>
      </c>
      <c r="D27" s="13">
        <f>$N$3-Table113[[#This Row],[Comp E75 -1
Run Hr]]</f>
        <v>1499</v>
      </c>
      <c r="E27" s="5">
        <f>Table113[[#This Row],[Comp E75 -2
Run Hr]]-F26</f>
        <v>24</v>
      </c>
      <c r="F27" s="7">
        <f>'PowerHouse Data'!$AB$5</f>
        <v>6747</v>
      </c>
      <c r="G27" s="13">
        <f>$O$3-Table113[[#This Row],[Comp E75 -2
Run Hr]]</f>
        <v>1319</v>
      </c>
      <c r="H27" s="5">
        <f>Table113[[#This Row],[Comp E75 -3
Run Hr]]-I26</f>
        <v>24</v>
      </c>
      <c r="I27" s="7">
        <f>'PowerHouse Data'!$AB$6</f>
        <v>881</v>
      </c>
      <c r="J27" s="13">
        <f>$P$3-Table113[[#This Row],[Comp E75 -3
Run Hr]]</f>
        <v>3119</v>
      </c>
      <c r="K27" s="5">
        <f>Table113[[#This Row],[Comp E55 Run Hr]]-L26</f>
        <v>0</v>
      </c>
      <c r="L27" s="7">
        <f>'PowerHouse Data'!$AB$7</f>
        <v>25886</v>
      </c>
      <c r="M27" s="13">
        <f>$Q$3-Table113[[#This Row],[Comp E55 Run Hr]]</f>
        <v>1044</v>
      </c>
      <c r="N27" s="28"/>
      <c r="O27" s="28"/>
      <c r="P27" s="28"/>
      <c r="Q27" s="28"/>
    </row>
    <row r="28" spans="1:17" x14ac:dyDescent="0.35">
      <c r="A28" s="4">
        <v>46228</v>
      </c>
      <c r="B28" s="5">
        <f>Table113[[#This Row],[Comp E75 -1
Run Hr]]-C27</f>
        <v>0</v>
      </c>
      <c r="C28" s="7">
        <f>'PowerHouse Data'!$AC$4</f>
        <v>3941</v>
      </c>
      <c r="D28" s="13">
        <f>$N$3-Table113[[#This Row],[Comp E75 -1
Run Hr]]</f>
        <v>1499</v>
      </c>
      <c r="E28" s="5">
        <f>Table113[[#This Row],[Comp E75 -2
Run Hr]]-F27</f>
        <v>2</v>
      </c>
      <c r="F28" s="7">
        <f>'PowerHouse Data'!$AC$5</f>
        <v>6749</v>
      </c>
      <c r="G28" s="13">
        <f>$O$3-Table113[[#This Row],[Comp E75 -2
Run Hr]]</f>
        <v>1317</v>
      </c>
      <c r="H28" s="5">
        <f>Table113[[#This Row],[Comp E75 -3
Run Hr]]-I27</f>
        <v>0</v>
      </c>
      <c r="I28" s="7">
        <f>'PowerHouse Data'!$AC$6</f>
        <v>881</v>
      </c>
      <c r="J28" s="13">
        <f>$P$3-Table113[[#This Row],[Comp E75 -3
Run Hr]]</f>
        <v>3119</v>
      </c>
      <c r="K28" s="5">
        <f>Table113[[#This Row],[Comp E55 Run Hr]]-L27</f>
        <v>21</v>
      </c>
      <c r="L28" s="7">
        <f>'PowerHouse Data'!$AC$7</f>
        <v>25907</v>
      </c>
      <c r="M28" s="13">
        <f>$Q$3-Table113[[#This Row],[Comp E55 Run Hr]]</f>
        <v>1023</v>
      </c>
      <c r="N28" s="28"/>
      <c r="O28" s="28"/>
      <c r="P28" s="28"/>
      <c r="Q28" s="28"/>
    </row>
    <row r="29" spans="1:17" x14ac:dyDescent="0.35">
      <c r="A29" s="4">
        <v>46229</v>
      </c>
      <c r="B29" s="5">
        <f>Table113[[#This Row],[Comp E75 -1
Run Hr]]-C28</f>
        <v>0</v>
      </c>
      <c r="C29" s="7">
        <f>'PowerHouse Data'!$AD$4</f>
        <v>3941</v>
      </c>
      <c r="D29" s="13">
        <f>$N$3-Table113[[#This Row],[Comp E75 -1
Run Hr]]</f>
        <v>1499</v>
      </c>
      <c r="E29" s="5">
        <f>Table113[[#This Row],[Comp E75 -2
Run Hr]]-F28</f>
        <v>0</v>
      </c>
      <c r="F29" s="7">
        <f>'PowerHouse Data'!$AD$5</f>
        <v>6749</v>
      </c>
      <c r="G29" s="13">
        <f>$O$3-Table113[[#This Row],[Comp E75 -2
Run Hr]]</f>
        <v>1317</v>
      </c>
      <c r="H29" s="5">
        <f>Table113[[#This Row],[Comp E75 -3
Run Hr]]-I28</f>
        <v>0</v>
      </c>
      <c r="I29" s="7">
        <f>'PowerHouse Data'!$AD$6</f>
        <v>881</v>
      </c>
      <c r="J29" s="13">
        <f>$P$3-Table113[[#This Row],[Comp E75 -3
Run Hr]]</f>
        <v>3119</v>
      </c>
      <c r="K29" s="5">
        <f>Table113[[#This Row],[Comp E55 Run Hr]]-L28</f>
        <v>24</v>
      </c>
      <c r="L29" s="7">
        <f>'PowerHouse Data'!$AD$7</f>
        <v>25931</v>
      </c>
      <c r="M29" s="13">
        <f>$Q$3-Table113[[#This Row],[Comp E55 Run Hr]]</f>
        <v>999</v>
      </c>
      <c r="N29" s="28"/>
      <c r="O29" s="28"/>
      <c r="P29" s="28"/>
      <c r="Q29" s="28"/>
    </row>
    <row r="30" spans="1:17" x14ac:dyDescent="0.35">
      <c r="A30" s="4">
        <v>46230</v>
      </c>
      <c r="B30" s="5">
        <f>Table113[[#This Row],[Comp E75 -1
Run Hr]]-C29</f>
        <v>0</v>
      </c>
      <c r="C30" s="7">
        <f>'PowerHouse Data'!$AE$4</f>
        <v>3941</v>
      </c>
      <c r="D30" s="13">
        <f>$N$3-Table113[[#This Row],[Comp E75 -1
Run Hr]]</f>
        <v>1499</v>
      </c>
      <c r="E30" s="5">
        <f>Table113[[#This Row],[Comp E75 -2
Run Hr]]-F29</f>
        <v>24</v>
      </c>
      <c r="F30" s="7">
        <f>'PowerHouse Data'!$AE$5</f>
        <v>6773</v>
      </c>
      <c r="G30" s="13">
        <f>$O$3-Table113[[#This Row],[Comp E75 -2
Run Hr]]</f>
        <v>1293</v>
      </c>
      <c r="H30" s="5">
        <f>Table113[[#This Row],[Comp E75 -3
Run Hr]]-I29</f>
        <v>23</v>
      </c>
      <c r="I30" s="7">
        <f>'PowerHouse Data'!$AE$6</f>
        <v>904</v>
      </c>
      <c r="J30" s="13">
        <f>$P$3-Table113[[#This Row],[Comp E75 -3
Run Hr]]</f>
        <v>3096</v>
      </c>
      <c r="K30" s="5">
        <f>Table113[[#This Row],[Comp E55 Run Hr]]-L29</f>
        <v>0</v>
      </c>
      <c r="L30" s="7">
        <f>'PowerHouse Data'!$AE$7</f>
        <v>25931</v>
      </c>
      <c r="M30" s="13">
        <f>$Q$3-Table113[[#This Row],[Comp E55 Run Hr]]</f>
        <v>999</v>
      </c>
      <c r="N30" s="28"/>
      <c r="O30" s="28"/>
      <c r="P30" s="28"/>
      <c r="Q30" s="28"/>
    </row>
    <row r="31" spans="1:17" x14ac:dyDescent="0.35">
      <c r="A31" s="4">
        <v>46231</v>
      </c>
      <c r="B31" s="5">
        <f>Table113[[#This Row],[Comp E75 -1
Run Hr]]-C30</f>
        <v>23</v>
      </c>
      <c r="C31" s="7">
        <f>'PowerHouse Data'!$AF$4</f>
        <v>3964</v>
      </c>
      <c r="D31" s="13">
        <f>$N$3-Table113[[#This Row],[Comp E75 -1
Run Hr]]</f>
        <v>1476</v>
      </c>
      <c r="E31" s="5">
        <f>Table113[[#This Row],[Comp E75 -2
Run Hr]]-F30</f>
        <v>0</v>
      </c>
      <c r="F31" s="7">
        <f>'PowerHouse Data'!$AF$5</f>
        <v>6773</v>
      </c>
      <c r="G31" s="13">
        <f>$O$3-Table113[[#This Row],[Comp E75 -2
Run Hr]]</f>
        <v>1293</v>
      </c>
      <c r="H31" s="5">
        <f>Table113[[#This Row],[Comp E75 -3
Run Hr]]-I30</f>
        <v>22</v>
      </c>
      <c r="I31" s="7">
        <f>'PowerHouse Data'!$AF$6</f>
        <v>926</v>
      </c>
      <c r="J31" s="13">
        <f>$P$3-Table113[[#This Row],[Comp E75 -3
Run Hr]]</f>
        <v>3074</v>
      </c>
      <c r="K31" s="5">
        <f>Table113[[#This Row],[Comp E55 Run Hr]]-L30</f>
        <v>0</v>
      </c>
      <c r="L31" s="7">
        <f>'PowerHouse Data'!$AF$7</f>
        <v>25931</v>
      </c>
      <c r="M31" s="13">
        <f>$Q$3-Table113[[#This Row],[Comp E55 Run Hr]]</f>
        <v>999</v>
      </c>
      <c r="N31" s="28"/>
      <c r="O31" s="28"/>
      <c r="P31" s="28"/>
      <c r="Q31" s="28"/>
    </row>
    <row r="32" spans="1:17" x14ac:dyDescent="0.35">
      <c r="A32" s="4">
        <v>46232</v>
      </c>
      <c r="B32" s="5">
        <f>Table113[[#This Row],[Comp E75 -1
Run Hr]]-C31</f>
        <v>24</v>
      </c>
      <c r="C32" s="7">
        <f>'PowerHouse Data'!$AG$4</f>
        <v>3988</v>
      </c>
      <c r="D32" s="13">
        <f>$N$3-Table113[[#This Row],[Comp E75 -1
Run Hr]]</f>
        <v>1452</v>
      </c>
      <c r="E32" s="5">
        <f>Table113[[#This Row],[Comp E75 -2
Run Hr]]-F31</f>
        <v>24</v>
      </c>
      <c r="F32" s="7">
        <f>'PowerHouse Data'!$AG$5</f>
        <v>6797</v>
      </c>
      <c r="G32" s="13">
        <f>$O$3-Table113[[#This Row],[Comp E75 -2
Run Hr]]</f>
        <v>1269</v>
      </c>
      <c r="H32" s="5">
        <f>Table113[[#This Row],[Comp E75 -3
Run Hr]]-I31</f>
        <v>0</v>
      </c>
      <c r="I32" s="7">
        <f>'PowerHouse Data'!$AG$6</f>
        <v>926</v>
      </c>
      <c r="J32" s="13">
        <f>$P$3-Table113[[#This Row],[Comp E75 -3
Run Hr]]</f>
        <v>3074</v>
      </c>
      <c r="K32" s="5">
        <f>Table113[[#This Row],[Comp E55 Run Hr]]-L31</f>
        <v>0</v>
      </c>
      <c r="L32" s="7">
        <f>'PowerHouse Data'!$AG$7</f>
        <v>25931</v>
      </c>
      <c r="M32" s="13">
        <f>$Q$3-Table113[[#This Row],[Comp E55 Run Hr]]</f>
        <v>999</v>
      </c>
      <c r="N32" s="28"/>
      <c r="O32" s="28"/>
      <c r="P32" s="28"/>
      <c r="Q32" s="28"/>
    </row>
    <row r="33" spans="1:17" x14ac:dyDescent="0.35">
      <c r="A33" s="4">
        <v>46233</v>
      </c>
      <c r="B33" s="5">
        <f>Table113[[#This Row],[Comp E75 -1
Run Hr]]-C32</f>
        <v>0</v>
      </c>
      <c r="C33" s="7">
        <f>'PowerHouse Data'!$AH$4</f>
        <v>3988</v>
      </c>
      <c r="D33" s="13">
        <f>$N$3-Table113[[#This Row],[Comp E75 -1
Run Hr]]</f>
        <v>1452</v>
      </c>
      <c r="E33" s="5">
        <f>Table113[[#This Row],[Comp E75 -2
Run Hr]]-F32</f>
        <v>24</v>
      </c>
      <c r="F33" s="7">
        <f>'PowerHouse Data'!$AH$5</f>
        <v>6821</v>
      </c>
      <c r="G33" s="13">
        <f>$O$3-Table113[[#This Row],[Comp E75 -2
Run Hr]]</f>
        <v>1245</v>
      </c>
      <c r="H33" s="5">
        <f>Table113[[#This Row],[Comp E75 -3
Run Hr]]-I32</f>
        <v>22</v>
      </c>
      <c r="I33" s="7">
        <f>'PowerHouse Data'!$AH$6</f>
        <v>948</v>
      </c>
      <c r="J33" s="13">
        <f>$P$3-Table113[[#This Row],[Comp E75 -3
Run Hr]]</f>
        <v>3052</v>
      </c>
      <c r="K33" s="5">
        <f>Table113[[#This Row],[Comp E55 Run Hr]]-L32</f>
        <v>0</v>
      </c>
      <c r="L33" s="7">
        <f>'PowerHouse Data'!$AH$7</f>
        <v>25931</v>
      </c>
      <c r="M33" s="13">
        <f>$Q$3-Table113[[#This Row],[Comp E55 Run Hr]]</f>
        <v>999</v>
      </c>
      <c r="N33" s="28"/>
      <c r="O33" s="28"/>
      <c r="P33" s="28"/>
      <c r="Q33" s="28"/>
    </row>
    <row r="34" spans="1:17" x14ac:dyDescent="0.35">
      <c r="A34" s="4">
        <v>46234</v>
      </c>
      <c r="B34" s="5">
        <f>Table113[[#This Row],[Comp E75 -1
Run Hr]]-C33</f>
        <v>24</v>
      </c>
      <c r="C34" s="7">
        <f>'PowerHouse Data'!$AI$4</f>
        <v>4012</v>
      </c>
      <c r="D34" s="31">
        <f>$N$3-Table113[[#This Row],[Comp E75 -1
Run Hr]]</f>
        <v>1428</v>
      </c>
      <c r="E34" s="5">
        <f>Table113[[#This Row],[Comp E75 -2
Run Hr]]-F33</f>
        <v>0</v>
      </c>
      <c r="F34" s="7">
        <f>'PowerHouse Data'!$AI$5</f>
        <v>6821</v>
      </c>
      <c r="G34" s="13">
        <f>$O$3-Table113[[#This Row],[Comp E75 -2
Run Hr]]</f>
        <v>1245</v>
      </c>
      <c r="H34" s="5">
        <f>Table113[[#This Row],[Comp E75 -3
Run Hr]]-I33</f>
        <v>24</v>
      </c>
      <c r="I34" s="7">
        <f>'PowerHouse Data'!$AI$6</f>
        <v>972</v>
      </c>
      <c r="J34" s="13">
        <f>$P$3-Table113[[#This Row],[Comp E75 -3
Run Hr]]</f>
        <v>3028</v>
      </c>
      <c r="K34" s="5">
        <f>Table113[[#This Row],[Comp E55 Run Hr]]-L33</f>
        <v>0</v>
      </c>
      <c r="L34" s="7">
        <f>'PowerHouse Data'!$AI$7</f>
        <v>25931</v>
      </c>
      <c r="M34" s="13">
        <f>$Q$3-Table113[[#This Row],[Comp E55 Run Hr]]</f>
        <v>999</v>
      </c>
      <c r="N34" s="7"/>
      <c r="O34" s="7"/>
      <c r="P34" s="28"/>
      <c r="Q34" s="7"/>
    </row>
    <row r="35" spans="1:17" x14ac:dyDescent="0.35">
      <c r="A35" s="4">
        <v>46235</v>
      </c>
      <c r="B35" s="5">
        <f>Table113[[#This Row],[Comp E75 -1
Run Hr]]-C34</f>
        <v>-4012</v>
      </c>
      <c r="C35" s="7">
        <f>'PowerHouse Data'!$AJ$4</f>
        <v>0</v>
      </c>
      <c r="D35" s="31">
        <f>$N$3-Table113[[#This Row],[Comp E75 -1
Run Hr]]</f>
        <v>5440</v>
      </c>
      <c r="E35" s="5">
        <f>Table113[[#This Row],[Comp E75 -2
Run Hr]]-F34</f>
        <v>-6821</v>
      </c>
      <c r="F35" s="7">
        <f>'PowerHouse Data'!$AJ$5</f>
        <v>0</v>
      </c>
      <c r="G35" s="31">
        <f>$O$3-Table113[[#This Row],[Comp E75 -2
Run Hr]]</f>
        <v>8066</v>
      </c>
      <c r="H35" s="7">
        <f>Table113[[#This Row],[Comp E75 -2
Run Hr]]-I34</f>
        <v>-972</v>
      </c>
      <c r="I35" s="7">
        <f>'PowerHouse Data'!$AJ$6</f>
        <v>0</v>
      </c>
      <c r="J35" s="31">
        <f>$P$3-Table113[[#This Row],[Comp E75 -2
Run Hr]]</f>
        <v>4000</v>
      </c>
      <c r="K35" s="5">
        <f>Table113[[#This Row],[Comp E55 Run Hr]]-L34</f>
        <v>-25931</v>
      </c>
      <c r="L35" s="7">
        <f>'PowerHouse Data'!$AJ$7</f>
        <v>0</v>
      </c>
      <c r="M35" s="31">
        <f>$Q$3-Table113[[#This Row],[Comp E55 Run Hr]]</f>
        <v>26930</v>
      </c>
      <c r="N35" s="7"/>
      <c r="O35" s="7"/>
      <c r="P35" s="28"/>
      <c r="Q35" s="7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ignoredErrors>
    <ignoredError sqref="J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C3B6-06BA-4AB9-8B2E-C2B8D4F707A8}">
  <sheetPr codeName="Sheet4"/>
  <dimension ref="A1:AA1366"/>
  <sheetViews>
    <sheetView tabSelected="1" workbookViewId="0">
      <pane xSplit="2" ySplit="2" topLeftCell="F25" activePane="bottomRight" state="frozenSplit"/>
      <selection pane="topRight" activeCell="C1" sqref="C1"/>
      <selection pane="bottomLeft" activeCell="A3" sqref="A3"/>
      <selection pane="bottomRight" activeCell="R39" sqref="R39"/>
    </sheetView>
  </sheetViews>
  <sheetFormatPr defaultRowHeight="14.5" x14ac:dyDescent="0.35"/>
  <cols>
    <col min="1" max="1" width="10.08984375" bestFit="1" customWidth="1"/>
    <col min="2" max="2" width="12.6328125" hidden="1" customWidth="1"/>
    <col min="3" max="6" width="12.6328125" customWidth="1"/>
    <col min="7" max="7" width="12.90625" customWidth="1"/>
    <col min="8" max="9" width="12.6328125" customWidth="1"/>
    <col min="10" max="11" width="9.54296875" customWidth="1"/>
    <col min="12" max="13" width="12.26953125" customWidth="1"/>
    <col min="14" max="15" width="8.7265625" customWidth="1"/>
    <col min="16" max="16" width="10.1796875" customWidth="1"/>
    <col min="17" max="18" width="11.54296875" customWidth="1"/>
    <col min="19" max="19" width="12.81640625" customWidth="1"/>
    <col min="20" max="21" width="8.7265625" style="22" customWidth="1"/>
    <col min="22" max="22" width="12.6328125" customWidth="1"/>
  </cols>
  <sheetData>
    <row r="1" spans="1:27" ht="72.5" x14ac:dyDescent="0.35">
      <c r="A1" s="1" t="s">
        <v>0</v>
      </c>
      <c r="B1" s="2" t="s">
        <v>19</v>
      </c>
      <c r="C1" s="2" t="s">
        <v>20</v>
      </c>
      <c r="D1" s="2" t="s">
        <v>21</v>
      </c>
      <c r="E1" s="2" t="s">
        <v>69</v>
      </c>
      <c r="F1" s="2" t="s">
        <v>51</v>
      </c>
      <c r="G1" s="2" t="s">
        <v>70</v>
      </c>
      <c r="H1" s="2" t="s">
        <v>71</v>
      </c>
      <c r="I1" s="2" t="s">
        <v>72</v>
      </c>
      <c r="J1" s="2" t="s">
        <v>22</v>
      </c>
      <c r="K1" s="2" t="s">
        <v>40</v>
      </c>
      <c r="L1" s="2" t="s">
        <v>23</v>
      </c>
      <c r="M1" s="2" t="s">
        <v>39</v>
      </c>
      <c r="N1" s="2" t="s">
        <v>61</v>
      </c>
      <c r="O1" s="2" t="s">
        <v>62</v>
      </c>
      <c r="P1" s="2" t="s">
        <v>63</v>
      </c>
      <c r="Q1" s="2" t="s">
        <v>64</v>
      </c>
      <c r="R1" s="16" t="s">
        <v>65</v>
      </c>
      <c r="S1" s="16" t="s">
        <v>76</v>
      </c>
      <c r="T1" s="2" t="s">
        <v>24</v>
      </c>
      <c r="U1" s="2" t="s">
        <v>25</v>
      </c>
      <c r="V1" s="2" t="s">
        <v>73</v>
      </c>
    </row>
    <row r="2" spans="1:27" hidden="1" x14ac:dyDescent="0.35">
      <c r="A2" s="17">
        <v>46202</v>
      </c>
      <c r="B2" s="18"/>
      <c r="C2" s="5">
        <v>2060</v>
      </c>
      <c r="D2" s="7">
        <v>1932</v>
      </c>
      <c r="E2" s="5">
        <v>0</v>
      </c>
      <c r="F2" s="5">
        <v>37278</v>
      </c>
      <c r="G2" s="5">
        <v>0</v>
      </c>
      <c r="H2" s="5">
        <v>0</v>
      </c>
      <c r="I2" s="5">
        <v>2434</v>
      </c>
      <c r="J2" s="13">
        <v>34844</v>
      </c>
      <c r="K2" s="7">
        <v>5184</v>
      </c>
      <c r="L2" s="13">
        <v>9</v>
      </c>
      <c r="M2" s="7">
        <v>5631.3</v>
      </c>
      <c r="N2" s="19">
        <v>9</v>
      </c>
      <c r="O2" s="19">
        <v>12488.3</v>
      </c>
      <c r="P2" s="19">
        <v>5824</v>
      </c>
      <c r="Q2" s="19">
        <v>192.69999999999982</v>
      </c>
      <c r="R2" s="7">
        <v>0</v>
      </c>
      <c r="S2" s="33">
        <f>Table113456[[#This Row],[Main Tank
Consumption (Liters)]]-Table113456[[#This Row],[DIESEL ISSUE]]</f>
        <v>0</v>
      </c>
      <c r="T2" s="36"/>
      <c r="U2" s="36"/>
      <c r="V2" s="36">
        <f>'PowerHouse Data'!C14</f>
        <v>5184</v>
      </c>
    </row>
    <row r="3" spans="1:27" ht="18" hidden="1" customHeight="1" x14ac:dyDescent="0.35">
      <c r="A3" s="17">
        <v>46203</v>
      </c>
      <c r="B3" s="18">
        <v>0.29166666666666669</v>
      </c>
      <c r="C3" s="13">
        <f>'PowerHouse Data'!C2</f>
        <v>1932</v>
      </c>
      <c r="D3" s="31">
        <f>'PowerHouse Data'!$D$2</f>
        <v>1876</v>
      </c>
      <c r="E3" s="13">
        <f t="shared" ref="E3:E35" si="0">VLOOKUP(C3,$T$3:$U$1366,2,FALSE)</f>
        <v>34844</v>
      </c>
      <c r="F3" s="13">
        <f>'PowerHouse Data'!$D$12</f>
        <v>0</v>
      </c>
      <c r="G3" s="13">
        <f>Table113456[[#This Row],[Main Tank
Opening Stock (Liters)]]-Table113456[[#This Row],[Main Tank
Closing Stock (Liters)]]+Table113456[[#This Row],[Received (Liters)]]</f>
        <v>1105</v>
      </c>
      <c r="H3" s="13">
        <f t="shared" ref="H3:H34" si="1">VLOOKUP(D3,$T$3:$U$1366,2,FALSE)</f>
        <v>33739</v>
      </c>
      <c r="I3" s="31">
        <f>Table113456[[#This Row],[Main Tank
Closing Stock (Liters)]]+V3</f>
        <v>38923</v>
      </c>
      <c r="J3" s="13">
        <f>'PowerHouse Data'!D8-'PowerHouse Data'!C8</f>
        <v>5</v>
      </c>
      <c r="K3" s="31">
        <f>'PowerHouse Data'!$D$8</f>
        <v>5636.3</v>
      </c>
      <c r="L3" s="13">
        <f>'PowerHouse Data'!D9-'PowerHouse Data'!C9</f>
        <v>5</v>
      </c>
      <c r="M3" s="31">
        <f>'PowerHouse Data'!$D$9</f>
        <v>12493.3</v>
      </c>
      <c r="N3" s="19">
        <v>5824</v>
      </c>
      <c r="O3" s="19">
        <f>Table113456[[#This Row],[DG Parboiling 
Run Hr Meter2]]-Table113456[[#This Row],[DG Milling Run Hr Meter]]</f>
        <v>187.69999999999982</v>
      </c>
      <c r="P3" s="19">
        <v>12643.5</v>
      </c>
      <c r="Q3" s="19">
        <f>Table113456[[#This Row],[DG Parboiling 
Run Hr Meter4]]-Table113456[[#This Row],[DG Parboiling 
Run Hr Meter]]</f>
        <v>150.20000000000073</v>
      </c>
      <c r="R3" s="31">
        <f>'PowerHouse Data'!$D$13</f>
        <v>0</v>
      </c>
      <c r="S3" s="13">
        <f>Table113456[[#This Row],[Main Tank
Consumption (Liters)]]-Table113456[[#This Row],[DIESEL ISSUE]]</f>
        <v>1105</v>
      </c>
      <c r="T3" s="30">
        <v>0</v>
      </c>
      <c r="U3" s="30">
        <v>0</v>
      </c>
      <c r="V3" s="37">
        <f>'PowerHouse Data'!$D$14</f>
        <v>5184</v>
      </c>
    </row>
    <row r="4" spans="1:27" ht="18" customHeight="1" x14ac:dyDescent="0.35">
      <c r="A4" s="17">
        <v>46204</v>
      </c>
      <c r="B4" s="18">
        <v>0.29166666666666669</v>
      </c>
      <c r="C4" s="13">
        <f>D3</f>
        <v>1876</v>
      </c>
      <c r="D4" s="31">
        <f>'PowerHouse Data'!$E$2</f>
        <v>1872</v>
      </c>
      <c r="E4" s="13">
        <f t="shared" si="0"/>
        <v>33739</v>
      </c>
      <c r="F4" s="13">
        <f>'PowerHouse Data'!$E$12</f>
        <v>0</v>
      </c>
      <c r="G4" s="13">
        <f>Table113456[[#This Row],[Main Tank
Opening Stock (Liters)]]-Table113456[[#This Row],[Main Tank
Closing Stock (Liters)]]+Table113456[[#This Row],[Received (Liters)]]</f>
        <v>79</v>
      </c>
      <c r="H4" s="13">
        <f t="shared" si="1"/>
        <v>33660</v>
      </c>
      <c r="I4" s="31">
        <f>Table113456[[#This Row],[Main Tank
Closing Stock (Liters)]]+V4</f>
        <v>38844</v>
      </c>
      <c r="J4" s="13">
        <f>Table113456[[#This Row],[DG Milling Run Hr Meter]]-K3</f>
        <v>0</v>
      </c>
      <c r="K4" s="31">
        <f>'PowerHouse Data'!$E$8</f>
        <v>5636.3</v>
      </c>
      <c r="L4" s="13">
        <f>Table113456[[#This Row],[DG Parboiling 
Run Hr Meter]]-M3</f>
        <v>1.2000000000007276</v>
      </c>
      <c r="M4" s="31">
        <f>'PowerHouse Data'!$E$9</f>
        <v>12494.5</v>
      </c>
      <c r="N4" s="13">
        <v>5824</v>
      </c>
      <c r="O4" s="13">
        <f>Table113456[[#This Row],[DG Parboiling 
Run Hr Meter2]]-Table113456[[#This Row],[DG Milling Run Hr Meter]]</f>
        <v>187.69999999999982</v>
      </c>
      <c r="P4" s="13">
        <v>12643.5</v>
      </c>
      <c r="Q4" s="13">
        <f>Table113456[[#This Row],[DG Parboiling 
Run Hr Meter4]]-Table113456[[#This Row],[DG Parboiling 
Run Hr Meter]]</f>
        <v>149</v>
      </c>
      <c r="R4" s="31">
        <f>'PowerHouse Data'!$E$13</f>
        <v>0</v>
      </c>
      <c r="S4" s="13">
        <f>Table113456[[#This Row],[Main Tank
Consumption (Liters)]]+Table113456[[#This Row],[DIESEL ISSUE]]</f>
        <v>79</v>
      </c>
      <c r="T4" s="30">
        <v>2</v>
      </c>
      <c r="U4" s="30">
        <v>2</v>
      </c>
      <c r="V4" s="38">
        <f>'PowerHouse Data'!$E$14</f>
        <v>5184</v>
      </c>
    </row>
    <row r="5" spans="1:27" ht="18" customHeight="1" x14ac:dyDescent="0.35">
      <c r="A5" s="17">
        <v>46205</v>
      </c>
      <c r="B5" s="18">
        <v>0.29166666666666669</v>
      </c>
      <c r="C5" s="13">
        <f t="shared" ref="C5:C32" si="2">D4</f>
        <v>1872</v>
      </c>
      <c r="D5" s="31">
        <f>'PowerHouse Data'!$F$2</f>
        <v>1792</v>
      </c>
      <c r="E5" s="13">
        <f t="shared" si="0"/>
        <v>33660</v>
      </c>
      <c r="F5" s="13">
        <f>'PowerHouse Data'!$F$12</f>
        <v>0</v>
      </c>
      <c r="G5" s="13">
        <f>Table113456[[#This Row],[Main Tank
Opening Stock (Liters)]]-Table113456[[#This Row],[Main Tank
Closing Stock (Liters)]]+Table113456[[#This Row],[Received (Liters)]]</f>
        <v>1615</v>
      </c>
      <c r="H5" s="13">
        <f t="shared" si="1"/>
        <v>32045</v>
      </c>
      <c r="I5" s="31">
        <f>Table113456[[#This Row],[Main Tank
Closing Stock (Liters)]]+V5</f>
        <v>37229</v>
      </c>
      <c r="J5" s="13">
        <f>Table113456[[#This Row],[DG Milling Run Hr Meter]]-K4</f>
        <v>6</v>
      </c>
      <c r="K5" s="31">
        <f>'PowerHouse Data'!$F$8</f>
        <v>5642.3</v>
      </c>
      <c r="L5" s="13">
        <f>Table113456[[#This Row],[DG Parboiling 
Run Hr Meter]]-M4</f>
        <v>6.6000000000003638</v>
      </c>
      <c r="M5" s="31">
        <f>'PowerHouse Data'!$F$9</f>
        <v>12501.1</v>
      </c>
      <c r="N5" s="31">
        <v>5824</v>
      </c>
      <c r="O5" s="13">
        <f>Table113456[[#This Row],[DG Parboiling 
Run Hr Meter2]]-Table113456[[#This Row],[DG Milling Run Hr Meter]]</f>
        <v>181.69999999999982</v>
      </c>
      <c r="P5" s="31">
        <v>12643.5</v>
      </c>
      <c r="Q5" s="13">
        <f>Table113456[[#This Row],[DG Parboiling 
Run Hr Meter4]]-Table113456[[#This Row],[DG Parboiling 
Run Hr Meter]]</f>
        <v>142.39999999999964</v>
      </c>
      <c r="R5" s="31">
        <f>'PowerHouse Data'!$F$13</f>
        <v>75</v>
      </c>
      <c r="S5" s="13">
        <f>Table113456[[#This Row],[Main Tank
Consumption (Liters)]]-Table113456[[#This Row],[DIESEL ISSUE]]</f>
        <v>1540</v>
      </c>
      <c r="T5" s="30">
        <v>4</v>
      </c>
      <c r="U5" s="30">
        <v>4</v>
      </c>
      <c r="V5" s="37">
        <f>'PowerHouse Data'!$F$14</f>
        <v>5184</v>
      </c>
      <c r="AA5" s="35"/>
    </row>
    <row r="6" spans="1:27" ht="18" customHeight="1" x14ac:dyDescent="0.35">
      <c r="A6" s="17">
        <v>46206</v>
      </c>
      <c r="B6" s="18">
        <v>0.29166666666666669</v>
      </c>
      <c r="C6" s="13">
        <f t="shared" si="2"/>
        <v>1792</v>
      </c>
      <c r="D6" s="31">
        <f>'PowerHouse Data'!$G$2</f>
        <v>1792</v>
      </c>
      <c r="E6" s="13">
        <f t="shared" si="0"/>
        <v>32045</v>
      </c>
      <c r="F6" s="13">
        <f>'PowerHouse Data'!$G$12</f>
        <v>0</v>
      </c>
      <c r="G6" s="13">
        <f>Table113456[[#This Row],[Main Tank
Opening Stock (Liters)]]-Table113456[[#This Row],[Main Tank
Closing Stock (Liters)]]+Table113456[[#This Row],[Received (Liters)]]</f>
        <v>0</v>
      </c>
      <c r="H6" s="13">
        <f t="shared" si="1"/>
        <v>32045</v>
      </c>
      <c r="I6" s="31">
        <f>Table113456[[#This Row],[Main Tank
Closing Stock (Liters)]]+V6</f>
        <v>37229</v>
      </c>
      <c r="J6" s="13">
        <f>Table113456[[#This Row],[DG Milling Run Hr Meter]]-K5</f>
        <v>0</v>
      </c>
      <c r="K6" s="31">
        <f>'PowerHouse Data'!$G$8</f>
        <v>5642.3</v>
      </c>
      <c r="L6" s="13">
        <f>Table113456[[#This Row],[DG Parboiling 
Run Hr Meter]]-M5</f>
        <v>0</v>
      </c>
      <c r="M6" s="31">
        <f>'PowerHouse Data'!$G$9</f>
        <v>12501.1</v>
      </c>
      <c r="N6" s="13">
        <v>5824</v>
      </c>
      <c r="O6" s="13">
        <f>Table113456[[#This Row],[DG Parboiling 
Run Hr Meter2]]-Table113456[[#This Row],[DG Milling Run Hr Meter]]</f>
        <v>181.69999999999982</v>
      </c>
      <c r="P6" s="13">
        <v>12643.5</v>
      </c>
      <c r="Q6" s="13">
        <f>Table113456[[#This Row],[DG Parboiling 
Run Hr Meter4]]-Table113456[[#This Row],[DG Parboiling 
Run Hr Meter]]</f>
        <v>142.39999999999964</v>
      </c>
      <c r="R6" s="31">
        <f>'PowerHouse Data'!$G$13</f>
        <v>0</v>
      </c>
      <c r="S6" s="13">
        <f>Table113456[[#This Row],[DIESEL ISSUE]]+Table113456[[#This Row],[Main Tank
Consumption (Liters)]]</f>
        <v>0</v>
      </c>
      <c r="T6" s="30">
        <v>6</v>
      </c>
      <c r="U6" s="30">
        <v>8</v>
      </c>
      <c r="V6" s="38">
        <f>'PowerHouse Data'!$G$14</f>
        <v>5184</v>
      </c>
    </row>
    <row r="7" spans="1:27" ht="18" customHeight="1" x14ac:dyDescent="0.35">
      <c r="A7" s="17">
        <v>46207</v>
      </c>
      <c r="B7" s="18">
        <v>0.29166666666666669</v>
      </c>
      <c r="C7" s="13">
        <f t="shared" si="2"/>
        <v>1792</v>
      </c>
      <c r="D7" s="31">
        <f>'PowerHouse Data'!$H$2</f>
        <v>1750</v>
      </c>
      <c r="E7" s="13">
        <f t="shared" si="0"/>
        <v>32045</v>
      </c>
      <c r="F7" s="13">
        <f>'PowerHouse Data'!$H$12</f>
        <v>0</v>
      </c>
      <c r="G7" s="13">
        <f>Table113456[[#This Row],[Main Tank
Opening Stock (Liters)]]-Table113456[[#This Row],[Main Tank
Closing Stock (Liters)]]+Table113456[[#This Row],[Received (Liters)]]</f>
        <v>861.5</v>
      </c>
      <c r="H7" s="13">
        <f t="shared" si="1"/>
        <v>31183.5</v>
      </c>
      <c r="I7" s="31">
        <f>Table113456[[#This Row],[Main Tank
Closing Stock (Liters)]]+V7</f>
        <v>36367.5</v>
      </c>
      <c r="J7" s="13">
        <f>Table113456[[#This Row],[DG Milling Run Hr Meter]]-K6</f>
        <v>0</v>
      </c>
      <c r="K7" s="31">
        <f>'PowerHouse Data'!$H$8</f>
        <v>5642.3</v>
      </c>
      <c r="L7" s="13">
        <f>Table113456[[#This Row],[DG Parboiling 
Run Hr Meter]]-M6</f>
        <v>0</v>
      </c>
      <c r="M7" s="31">
        <f>'PowerHouse Data'!$H$9</f>
        <v>12501.1</v>
      </c>
      <c r="N7" s="19">
        <v>5824</v>
      </c>
      <c r="O7" s="19">
        <f>Table113456[[#This Row],[DG Parboiling 
Run Hr Meter2]]-Table113456[[#This Row],[DG Milling Run Hr Meter]]</f>
        <v>181.69999999999982</v>
      </c>
      <c r="P7" s="19">
        <v>12643.5</v>
      </c>
      <c r="Q7" s="14">
        <f>Table113456[[#This Row],[DG Parboiling 
Run Hr Meter4]]-Table113456[[#This Row],[DG Parboiling 
Run Hr Meter]]</f>
        <v>142.39999999999964</v>
      </c>
      <c r="R7" s="31">
        <f>'PowerHouse Data'!$H$13</f>
        <v>862</v>
      </c>
      <c r="S7" s="13">
        <f>(Table113456[[#This Row],[Main Tank
Consumption (Liters)]]+Table113456[[#This Row],[DIESEL ISSUE]])-Table113456[[#This Row],[DIESEL ISSUE]]</f>
        <v>861.5</v>
      </c>
      <c r="T7" s="30">
        <v>8</v>
      </c>
      <c r="U7" s="30">
        <v>12</v>
      </c>
      <c r="V7" s="37">
        <f>'PowerHouse Data'!$H$14</f>
        <v>5184</v>
      </c>
    </row>
    <row r="8" spans="1:27" ht="18" customHeight="1" x14ac:dyDescent="0.35">
      <c r="A8" s="17">
        <v>46208</v>
      </c>
      <c r="B8" s="18">
        <v>0.29166666666666669</v>
      </c>
      <c r="C8" s="13">
        <f t="shared" si="2"/>
        <v>1750</v>
      </c>
      <c r="D8" s="31">
        <f>'PowerHouse Data'!$I$2</f>
        <v>1750</v>
      </c>
      <c r="E8" s="13">
        <f t="shared" si="0"/>
        <v>31183.5</v>
      </c>
      <c r="F8" s="13">
        <f>'PowerHouse Data'!$I$12</f>
        <v>0</v>
      </c>
      <c r="G8" s="13">
        <f>Table113456[[#This Row],[Main Tank
Opening Stock (Liters)]]-Table113456[[#This Row],[Main Tank
Closing Stock (Liters)]]+Table113456[[#This Row],[Received (Liters)]]</f>
        <v>0</v>
      </c>
      <c r="H8" s="13">
        <f t="shared" si="1"/>
        <v>31183.5</v>
      </c>
      <c r="I8" s="31">
        <f>Table113456[[#This Row],[Main Tank
Closing Stock (Liters)]]+V8</f>
        <v>36357.5</v>
      </c>
      <c r="J8" s="13">
        <f>Table113456[[#This Row],[DG Milling Run Hr Meter]]-K7</f>
        <v>0</v>
      </c>
      <c r="K8" s="31">
        <f>'PowerHouse Data'!$I$8</f>
        <v>5642.3</v>
      </c>
      <c r="L8" s="13">
        <f>Table113456[[#This Row],[DG Parboiling 
Run Hr Meter]]-M7</f>
        <v>0</v>
      </c>
      <c r="M8" s="31">
        <f>'PowerHouse Data'!$I$9</f>
        <v>12501.1</v>
      </c>
      <c r="N8" s="13">
        <v>5824</v>
      </c>
      <c r="O8" s="13">
        <f>Table113456[[#This Row],[DG Parboiling 
Run Hr Meter2]]-Table113456[[#This Row],[DG Milling Run Hr Meter]]</f>
        <v>181.69999999999982</v>
      </c>
      <c r="P8" s="13">
        <v>12643.5</v>
      </c>
      <c r="Q8" s="13">
        <f>Table113456[[#This Row],[DG Parboiling 
Run Hr Meter4]]-Table113456[[#This Row],[DG Parboiling 
Run Hr Meter]]</f>
        <v>142.39999999999964</v>
      </c>
      <c r="R8" s="31">
        <f>'PowerHouse Data'!$I$13</f>
        <v>10</v>
      </c>
      <c r="S8" s="13">
        <f>Table113456[[#This Row],[DIESEL ISSUE]]+Table113456[[#This Row],[Main Tank
Consumption (Liters)]]</f>
        <v>10</v>
      </c>
      <c r="T8" s="30">
        <v>10</v>
      </c>
      <c r="U8" s="30">
        <v>17</v>
      </c>
      <c r="V8" s="38">
        <f>'PowerHouse Data'!$I$14</f>
        <v>5174</v>
      </c>
    </row>
    <row r="9" spans="1:27" ht="18" customHeight="1" x14ac:dyDescent="0.35">
      <c r="A9" s="17">
        <v>46209</v>
      </c>
      <c r="B9" s="18">
        <v>0.29166666666666669</v>
      </c>
      <c r="C9" s="13">
        <f t="shared" si="2"/>
        <v>1750</v>
      </c>
      <c r="D9" s="31">
        <f>'PowerHouse Data'!$J$2</f>
        <v>1702</v>
      </c>
      <c r="E9" s="13">
        <f t="shared" si="0"/>
        <v>31183.5</v>
      </c>
      <c r="F9" s="13">
        <f>'PowerHouse Data'!$J$12</f>
        <v>0</v>
      </c>
      <c r="G9" s="13">
        <f>Table113456[[#This Row],[Main Tank
Opening Stock (Liters)]]-Table113456[[#This Row],[Main Tank
Closing Stock (Liters)]]+Table113456[[#This Row],[Received (Liters)]]</f>
        <v>994.5</v>
      </c>
      <c r="H9" s="13">
        <f t="shared" si="1"/>
        <v>30189</v>
      </c>
      <c r="I9" s="31">
        <f>Table113456[[#This Row],[Main Tank
Closing Stock (Liters)]]+V9</f>
        <v>35373</v>
      </c>
      <c r="J9" s="13">
        <f>Table113456[[#This Row],[DG Milling Run Hr Meter]]-K8</f>
        <v>2.6999999999998181</v>
      </c>
      <c r="K9" s="31">
        <f>'PowerHouse Data'!$J$8</f>
        <v>5645</v>
      </c>
      <c r="L9" s="13">
        <f>Table113456[[#This Row],[DG Parboiling 
Run Hr Meter]]-M8</f>
        <v>2.6999999999989086</v>
      </c>
      <c r="M9" s="31">
        <f>'PowerHouse Data'!$J$9</f>
        <v>12503.8</v>
      </c>
      <c r="N9" s="19">
        <v>5824</v>
      </c>
      <c r="O9" s="19">
        <f>Table113456[[#This Row],[DG Parboiling 
Run Hr Meter2]]-Table113456[[#This Row],[DG Milling Run Hr Meter]]</f>
        <v>179</v>
      </c>
      <c r="P9" s="19">
        <v>12643.5</v>
      </c>
      <c r="Q9" s="14">
        <f>Table113456[[#This Row],[DG Parboiling 
Run Hr Meter4]]-Table113456[[#This Row],[DG Parboiling 
Run Hr Meter]]</f>
        <v>139.70000000000073</v>
      </c>
      <c r="R9" s="31">
        <f>'PowerHouse Data'!$J$13</f>
        <v>200</v>
      </c>
      <c r="S9" s="13">
        <f>Table113456[[#This Row],[Main Tank
Consumption (Liters)]]-Table113456[[#This Row],[DIESEL ISSUE]]</f>
        <v>794.5</v>
      </c>
      <c r="T9" s="30">
        <v>12</v>
      </c>
      <c r="U9" s="30">
        <v>22</v>
      </c>
      <c r="V9" s="37">
        <f>'PowerHouse Data'!$J$14</f>
        <v>5184</v>
      </c>
      <c r="AA9" s="35"/>
    </row>
    <row r="10" spans="1:27" ht="18" customHeight="1" x14ac:dyDescent="0.35">
      <c r="A10" s="17">
        <v>46210</v>
      </c>
      <c r="B10" s="18">
        <v>0.29166666666666669</v>
      </c>
      <c r="C10" s="13">
        <f t="shared" si="2"/>
        <v>1702</v>
      </c>
      <c r="D10" s="31">
        <f>'PowerHouse Data'!$K$2</f>
        <v>1702</v>
      </c>
      <c r="E10" s="13">
        <f t="shared" si="0"/>
        <v>30189</v>
      </c>
      <c r="F10" s="13">
        <f>'PowerHouse Data'!$IO$12</f>
        <v>0</v>
      </c>
      <c r="G10" s="13">
        <f>Table113456[[#This Row],[Main Tank
Opening Stock (Liters)]]-Table113456[[#This Row],[Main Tank
Closing Stock (Liters)]]+Table113456[[#This Row],[Received (Liters)]]</f>
        <v>0</v>
      </c>
      <c r="H10" s="13">
        <f t="shared" si="1"/>
        <v>30189</v>
      </c>
      <c r="I10" s="31">
        <f>Table113456[[#This Row],[Main Tank
Closing Stock (Liters)]]+V10</f>
        <v>35373</v>
      </c>
      <c r="J10" s="13">
        <f>Table113456[[#This Row],[DG Milling Run Hr Meter]]-K9</f>
        <v>0</v>
      </c>
      <c r="K10" s="31">
        <f>'PowerHouse Data'!$K$8</f>
        <v>5645</v>
      </c>
      <c r="L10" s="13">
        <f>Table113456[[#This Row],[DG Parboiling 
Run Hr Meter]]-M9</f>
        <v>0</v>
      </c>
      <c r="M10" s="31">
        <f>'PowerHouse Data'!$K$9</f>
        <v>12503.8</v>
      </c>
      <c r="N10" s="13">
        <v>5824</v>
      </c>
      <c r="O10" s="13">
        <f>Table113456[[#This Row],[DG Parboiling 
Run Hr Meter2]]-Table113456[[#This Row],[DG Milling Run Hr Meter]]</f>
        <v>179</v>
      </c>
      <c r="P10" s="13">
        <v>12643.5</v>
      </c>
      <c r="Q10" s="13">
        <f>Table113456[[#This Row],[DG Parboiling 
Run Hr Meter4]]-Table113456[[#This Row],[DG Parboiling 
Run Hr Meter]]</f>
        <v>139.70000000000073</v>
      </c>
      <c r="R10" s="31">
        <f>'PowerHouse Data'!$K$13</f>
        <v>0</v>
      </c>
      <c r="S10" s="13">
        <f>Table113456[[#This Row],[DIESEL ISSUE]]+Table113456[[#This Row],[Main Tank
Consumption (Liters)]]</f>
        <v>0</v>
      </c>
      <c r="T10" s="30">
        <v>14</v>
      </c>
      <c r="U10" s="30">
        <v>28</v>
      </c>
      <c r="V10" s="38">
        <f>'PowerHouse Data'!$K$14</f>
        <v>5184</v>
      </c>
    </row>
    <row r="11" spans="1:27" ht="18" customHeight="1" x14ac:dyDescent="0.35">
      <c r="A11" s="17">
        <v>46211</v>
      </c>
      <c r="B11" s="18">
        <v>0.29166666666666669</v>
      </c>
      <c r="C11" s="13">
        <f t="shared" si="2"/>
        <v>1702</v>
      </c>
      <c r="D11" s="31">
        <f>'PowerHouse Data'!$L$2</f>
        <v>1702</v>
      </c>
      <c r="E11" s="13">
        <f t="shared" si="0"/>
        <v>30189</v>
      </c>
      <c r="F11" s="13">
        <f>'PowerHouse Data'!$JO$12</f>
        <v>0</v>
      </c>
      <c r="G11" s="13">
        <f>Table113456[[#This Row],[Main Tank
Opening Stock (Liters)]]-Table113456[[#This Row],[Main Tank
Closing Stock (Liters)]]+Table113456[[#This Row],[Received (Liters)]]</f>
        <v>0</v>
      </c>
      <c r="H11" s="13">
        <f t="shared" si="1"/>
        <v>30189</v>
      </c>
      <c r="I11" s="31">
        <f>Table113456[[#This Row],[Main Tank
Closing Stock (Liters)]]+V11</f>
        <v>35373</v>
      </c>
      <c r="J11" s="13">
        <f>Table113456[[#This Row],[DG Milling Run Hr Meter]]-K10</f>
        <v>0</v>
      </c>
      <c r="K11" s="31">
        <f>'PowerHouse Data'!$L$8</f>
        <v>5645</v>
      </c>
      <c r="L11" s="13">
        <f>Table113456[[#This Row],[DG Parboiling 
Run Hr Meter]]-M10</f>
        <v>0</v>
      </c>
      <c r="M11" s="31">
        <f>'PowerHouse Data'!$L$9</f>
        <v>12503.8</v>
      </c>
      <c r="N11" s="19">
        <v>5824</v>
      </c>
      <c r="O11" s="19">
        <f>Table113456[[#This Row],[DG Parboiling 
Run Hr Meter2]]-Table113456[[#This Row],[DG Milling Run Hr Meter]]</f>
        <v>179</v>
      </c>
      <c r="P11" s="19">
        <v>12643.5</v>
      </c>
      <c r="Q11" s="14">
        <f>Table113456[[#This Row],[DG Parboiling 
Run Hr Meter4]]-Table113456[[#This Row],[DG Parboiling 
Run Hr Meter]]</f>
        <v>139.70000000000073</v>
      </c>
      <c r="R11" s="31">
        <f>'PowerHouse Data'!$L$13</f>
        <v>0</v>
      </c>
      <c r="S11" s="13">
        <f>Table113456[[#This Row],[DIESEL ISSUE]]+Table113456[[#This Row],[Main Tank
Consumption (Liters)]]</f>
        <v>0</v>
      </c>
      <c r="T11" s="30">
        <v>16</v>
      </c>
      <c r="U11" s="30">
        <v>34</v>
      </c>
      <c r="V11" s="37">
        <f>'PowerHouse Data'!$L$14</f>
        <v>5184</v>
      </c>
      <c r="X11" s="35"/>
    </row>
    <row r="12" spans="1:27" ht="18" customHeight="1" x14ac:dyDescent="0.35">
      <c r="A12" s="17">
        <v>46212</v>
      </c>
      <c r="B12" s="18">
        <v>0.29166666666666669</v>
      </c>
      <c r="C12" s="13">
        <f t="shared" si="2"/>
        <v>1702</v>
      </c>
      <c r="D12" s="31">
        <f>'PowerHouse Data'!$M$2</f>
        <v>1702</v>
      </c>
      <c r="E12" s="13">
        <f t="shared" si="0"/>
        <v>30189</v>
      </c>
      <c r="F12" s="13">
        <f>'PowerHouse Data'!$M$12</f>
        <v>0</v>
      </c>
      <c r="G12" s="13">
        <f>Table113456[[#This Row],[Main Tank
Opening Stock (Liters)]]-Table113456[[#This Row],[Main Tank
Closing Stock (Liters)]]+Table113456[[#This Row],[Received (Liters)]]</f>
        <v>0</v>
      </c>
      <c r="H12" s="13">
        <f t="shared" si="1"/>
        <v>30189</v>
      </c>
      <c r="I12" s="31">
        <f>Table113456[[#This Row],[Main Tank
Closing Stock (Liters)]]+V12</f>
        <v>35363</v>
      </c>
      <c r="J12" s="13">
        <f>Table113456[[#This Row],[DG Milling Run Hr Meter]]-K11</f>
        <v>0</v>
      </c>
      <c r="K12" s="31">
        <f>'PowerHouse Data'!$M$8</f>
        <v>5645</v>
      </c>
      <c r="L12" s="13">
        <f>Table113456[[#This Row],[DG Parboiling 
Run Hr Meter]]-M11</f>
        <v>0</v>
      </c>
      <c r="M12" s="31">
        <f>'PowerHouse Data'!$M$9</f>
        <v>12503.8</v>
      </c>
      <c r="N12" s="13">
        <v>5824</v>
      </c>
      <c r="O12" s="13">
        <f>Table113456[[#This Row],[DG Parboiling 
Run Hr Meter2]]-Table113456[[#This Row],[DG Milling Run Hr Meter]]</f>
        <v>179</v>
      </c>
      <c r="P12" s="13">
        <v>12643.5</v>
      </c>
      <c r="Q12" s="13">
        <f>Table113456[[#This Row],[DG Parboiling 
Run Hr Meter4]]-Table113456[[#This Row],[DG Parboiling 
Run Hr Meter]]</f>
        <v>139.70000000000073</v>
      </c>
      <c r="R12" s="31">
        <f>'PowerHouse Data'!$M$13</f>
        <v>10</v>
      </c>
      <c r="S12" s="13">
        <f>Table113456[[#This Row],[DIESEL ISSUE]]+Table113456[[#This Row],[Main Tank
Consumption (Liters)]]</f>
        <v>10</v>
      </c>
      <c r="T12" s="30">
        <v>18</v>
      </c>
      <c r="U12" s="30">
        <v>41</v>
      </c>
      <c r="V12" s="38">
        <f>'PowerHouse Data'!$M$14</f>
        <v>5174</v>
      </c>
    </row>
    <row r="13" spans="1:27" ht="18" customHeight="1" x14ac:dyDescent="0.35">
      <c r="A13" s="17">
        <v>46213</v>
      </c>
      <c r="B13" s="18">
        <v>0.29166666666666669</v>
      </c>
      <c r="C13" s="13">
        <f t="shared" si="2"/>
        <v>1702</v>
      </c>
      <c r="D13" s="31">
        <f>'PowerHouse Data'!$N$2</f>
        <v>2580</v>
      </c>
      <c r="E13" s="13">
        <f t="shared" si="0"/>
        <v>30189</v>
      </c>
      <c r="F13" s="13">
        <f>'PowerHouse Data'!$N$12</f>
        <v>15198</v>
      </c>
      <c r="G13" s="13">
        <f>Table113456[[#This Row],[Main Tank
Opening Stock (Liters)]]-Table113456[[#This Row],[Main Tank
Closing Stock (Liters)]]+Table113456[[#This Row],[Received (Liters)]]</f>
        <v>361</v>
      </c>
      <c r="H13" s="13">
        <f t="shared" si="1"/>
        <v>45026</v>
      </c>
      <c r="I13" s="31">
        <f>Table113456[[#This Row],[Main Tank
Closing Stock (Liters)]]+V13</f>
        <v>50210</v>
      </c>
      <c r="J13" s="13">
        <f>Table113456[[#This Row],[DG Milling Run Hr Meter]]-K12</f>
        <v>1.1999999999998181</v>
      </c>
      <c r="K13" s="31">
        <f>'PowerHouse Data'!$N$8</f>
        <v>5646.2</v>
      </c>
      <c r="L13" s="13">
        <f>Table113456[[#This Row],[DG Parboiling 
Run Hr Meter]]-M12</f>
        <v>1.1000000000003638</v>
      </c>
      <c r="M13" s="31">
        <f>'PowerHouse Data'!$N$9</f>
        <v>12504.9</v>
      </c>
      <c r="N13" s="19">
        <v>5824</v>
      </c>
      <c r="O13" s="19">
        <f>Table113456[[#This Row],[DG Parboiling 
Run Hr Meter2]]-Table113456[[#This Row],[DG Milling Run Hr Meter]]</f>
        <v>177.80000000000018</v>
      </c>
      <c r="P13" s="19">
        <v>12643.5</v>
      </c>
      <c r="Q13" s="14">
        <f>Table113456[[#This Row],[DG Parboiling 
Run Hr Meter4]]-Table113456[[#This Row],[DG Parboiling 
Run Hr Meter]]</f>
        <v>138.60000000000036</v>
      </c>
      <c r="R13" s="31">
        <f>'PowerHouse Data'!$N$13</f>
        <v>10</v>
      </c>
      <c r="S13" s="13">
        <f>Table113456[[#This Row],[Main Tank
Consumption (Liters)]]-Table113456[[#This Row],[DIESEL ISSUE]]</f>
        <v>351</v>
      </c>
      <c r="T13" s="30">
        <v>20</v>
      </c>
      <c r="U13" s="30">
        <v>48</v>
      </c>
      <c r="V13" s="37">
        <f>'PowerHouse Data'!$N$14</f>
        <v>5184</v>
      </c>
      <c r="AA13" s="35"/>
    </row>
    <row r="14" spans="1:27" ht="18" customHeight="1" x14ac:dyDescent="0.35">
      <c r="A14" s="17">
        <v>46214</v>
      </c>
      <c r="B14" s="18">
        <v>0.29166666666666669</v>
      </c>
      <c r="C14" s="13">
        <f t="shared" si="2"/>
        <v>2580</v>
      </c>
      <c r="D14" s="31">
        <f>'PowerHouse Data'!$O$2</f>
        <v>2558</v>
      </c>
      <c r="E14" s="13">
        <f t="shared" si="0"/>
        <v>45026</v>
      </c>
      <c r="F14" s="13">
        <f>'PowerHouse Data'!$O$12</f>
        <v>0</v>
      </c>
      <c r="G14" s="13">
        <f>Table113456[[#This Row],[Main Tank
Opening Stock (Liters)]]-Table113456[[#This Row],[Main Tank
Closing Stock (Liters)]]+Table113456[[#This Row],[Received (Liters)]]</f>
        <v>219.5</v>
      </c>
      <c r="H14" s="13">
        <f t="shared" si="1"/>
        <v>44806.5</v>
      </c>
      <c r="I14" s="31">
        <f>Table113456[[#This Row],[Main Tank
Closing Stock (Liters)]]+V14</f>
        <v>49990.5</v>
      </c>
      <c r="J14" s="13">
        <f>Table113456[[#This Row],[DG Milling Run Hr Meter]]-K13</f>
        <v>0</v>
      </c>
      <c r="K14" s="31">
        <f>'PowerHouse Data'!$O$8</f>
        <v>5646.2</v>
      </c>
      <c r="L14" s="13">
        <f>Table113456[[#This Row],[DG Parboiling 
Run Hr Meter]]-M13</f>
        <v>2.1000000000003638</v>
      </c>
      <c r="M14" s="31">
        <f>'PowerHouse Data'!$O$9</f>
        <v>12507</v>
      </c>
      <c r="N14" s="13">
        <v>5824</v>
      </c>
      <c r="O14" s="13">
        <f>Table113456[[#This Row],[DG Parboiling 
Run Hr Meter2]]-Table113456[[#This Row],[DG Milling Run Hr Meter]]</f>
        <v>177.80000000000018</v>
      </c>
      <c r="P14" s="13">
        <v>12643.5</v>
      </c>
      <c r="Q14" s="13">
        <f>Table113456[[#This Row],[DG Parboiling 
Run Hr Meter4]]-Table113456[[#This Row],[DG Parboiling 
Run Hr Meter]]</f>
        <v>136.5</v>
      </c>
      <c r="R14" s="31">
        <f>'PowerHouse Data'!$O$13</f>
        <v>0</v>
      </c>
      <c r="S14" s="13">
        <f>Table113456[[#This Row],[Main Tank
Consumption (Liters)]]-Table113456[[#This Row],[DIESEL ISSUE]]</f>
        <v>219.5</v>
      </c>
      <c r="T14" s="30">
        <v>22</v>
      </c>
      <c r="U14" s="30">
        <v>55.5</v>
      </c>
      <c r="V14" s="38">
        <f>'PowerHouse Data'!$O$14</f>
        <v>5184</v>
      </c>
      <c r="AA14" s="35"/>
    </row>
    <row r="15" spans="1:27" ht="18" customHeight="1" x14ac:dyDescent="0.35">
      <c r="A15" s="17">
        <v>46215</v>
      </c>
      <c r="B15" s="18">
        <v>0.29166666666666669</v>
      </c>
      <c r="C15" s="13">
        <f t="shared" si="2"/>
        <v>2558</v>
      </c>
      <c r="D15" s="31">
        <f>'PowerHouse Data'!$P$2</f>
        <v>2494</v>
      </c>
      <c r="E15" s="13">
        <f t="shared" si="0"/>
        <v>44806.5</v>
      </c>
      <c r="F15" s="13">
        <f>'PowerHouse Data'!$P$12</f>
        <v>0</v>
      </c>
      <c r="G15" s="13">
        <f>Table113456[[#This Row],[Main Tank
Opening Stock (Liters)]]-Table113456[[#This Row],[Main Tank
Closing Stock (Liters)]]+Table113456[[#This Row],[Received (Liters)]]</f>
        <v>715.5</v>
      </c>
      <c r="H15" s="13">
        <f t="shared" si="1"/>
        <v>44091</v>
      </c>
      <c r="I15" s="31">
        <f>Table113456[[#This Row],[Main Tank
Closing Stock (Liters)]]+V15</f>
        <v>49275</v>
      </c>
      <c r="J15" s="13">
        <f>Table113456[[#This Row],[DG Milling Run Hr Meter]]-K14</f>
        <v>0</v>
      </c>
      <c r="K15" s="31">
        <f>'PowerHouse Data'!$P$8</f>
        <v>5646.2</v>
      </c>
      <c r="L15" s="13">
        <f>Table113456[[#This Row],[DG Parboiling 
Run Hr Meter]]-M14</f>
        <v>5.8999999999996362</v>
      </c>
      <c r="M15" s="31">
        <f>'PowerHouse Data'!$P$9</f>
        <v>12512.9</v>
      </c>
      <c r="N15" s="19">
        <v>5824</v>
      </c>
      <c r="O15" s="19">
        <f>Table113456[[#This Row],[DG Parboiling 
Run Hr Meter2]]-Table113456[[#This Row],[DG Milling Run Hr Meter]]</f>
        <v>177.80000000000018</v>
      </c>
      <c r="P15" s="19">
        <v>12643.5</v>
      </c>
      <c r="Q15" s="14">
        <f>Table113456[[#This Row],[DG Parboiling 
Run Hr Meter4]]-Table113456[[#This Row],[DG Parboiling 
Run Hr Meter]]</f>
        <v>130.60000000000036</v>
      </c>
      <c r="R15" s="31">
        <f>'PowerHouse Data'!$P$13</f>
        <v>0</v>
      </c>
      <c r="S15" s="13">
        <f>Table113456[[#This Row],[Main Tank
Consumption (Liters)]]-Table113456[[#This Row],[DIESEL ISSUE]]</f>
        <v>715.5</v>
      </c>
      <c r="T15" s="30">
        <v>24</v>
      </c>
      <c r="U15" s="30">
        <v>63</v>
      </c>
      <c r="V15" s="37">
        <f>'PowerHouse Data'!$P$14</f>
        <v>5184</v>
      </c>
      <c r="AA15" s="35"/>
    </row>
    <row r="16" spans="1:27" ht="18" customHeight="1" x14ac:dyDescent="0.35">
      <c r="A16" s="17">
        <v>46216</v>
      </c>
      <c r="B16" s="18">
        <v>0.29166666666666669</v>
      </c>
      <c r="C16" s="13">
        <f t="shared" si="2"/>
        <v>2494</v>
      </c>
      <c r="D16" s="31">
        <f>'PowerHouse Data'!$Q$2</f>
        <v>2494</v>
      </c>
      <c r="E16" s="13">
        <f t="shared" si="0"/>
        <v>44091</v>
      </c>
      <c r="F16" s="13">
        <f>'PowerHouse Data'!$Q$12</f>
        <v>0</v>
      </c>
      <c r="G16" s="13">
        <f>Table113456[[#This Row],[Main Tank
Opening Stock (Liters)]]-Table113456[[#This Row],[Main Tank
Closing Stock (Liters)]]+Table113456[[#This Row],[Received (Liters)]]</f>
        <v>0</v>
      </c>
      <c r="H16" s="13">
        <f t="shared" si="1"/>
        <v>44091</v>
      </c>
      <c r="I16" s="31">
        <f>Table113456[[#This Row],[Main Tank
Closing Stock (Liters)]]+V16</f>
        <v>49175</v>
      </c>
      <c r="J16" s="13">
        <f>Table113456[[#This Row],[DG Milling Run Hr Meter]]-K15</f>
        <v>0</v>
      </c>
      <c r="K16" s="31">
        <f>'PowerHouse Data'!$Q$8</f>
        <v>5646.2</v>
      </c>
      <c r="L16" s="13">
        <f>Table113456[[#This Row],[DG Parboiling 
Run Hr Meter]]-M15</f>
        <v>0</v>
      </c>
      <c r="M16" s="31">
        <f>'PowerHouse Data'!$Q$9</f>
        <v>12512.9</v>
      </c>
      <c r="N16" s="13">
        <v>5824</v>
      </c>
      <c r="O16" s="13">
        <f>Table113456[[#This Row],[DG Parboiling 
Run Hr Meter2]]-Table113456[[#This Row],[DG Milling Run Hr Meter]]</f>
        <v>177.80000000000018</v>
      </c>
      <c r="P16" s="13">
        <v>12643.5</v>
      </c>
      <c r="Q16" s="13">
        <f>Table113456[[#This Row],[DG Parboiling 
Run Hr Meter4]]-Table113456[[#This Row],[DG Parboiling 
Run Hr Meter]]</f>
        <v>130.60000000000036</v>
      </c>
      <c r="R16" s="31">
        <f>'PowerHouse Data'!$Q$13</f>
        <v>100</v>
      </c>
      <c r="S16" s="13">
        <f>Table113456[[#This Row],[DIESEL ISSUE]]-Table113456[[#This Row],[Main Tank
Consumption (Liters)]]</f>
        <v>100</v>
      </c>
      <c r="T16" s="30">
        <v>26</v>
      </c>
      <c r="U16" s="30">
        <v>71.5</v>
      </c>
      <c r="V16" s="38">
        <f>'PowerHouse Data'!$Q$14</f>
        <v>5084</v>
      </c>
    </row>
    <row r="17" spans="1:27" ht="18" customHeight="1" x14ac:dyDescent="0.35">
      <c r="A17" s="17">
        <v>46217</v>
      </c>
      <c r="B17" s="18">
        <v>0.29166666666666669</v>
      </c>
      <c r="C17" s="13">
        <f t="shared" si="2"/>
        <v>2494</v>
      </c>
      <c r="D17" s="31">
        <f>'PowerHouse Data'!$R$2</f>
        <v>2426</v>
      </c>
      <c r="E17" s="13">
        <f t="shared" si="0"/>
        <v>44091</v>
      </c>
      <c r="F17" s="13">
        <f>'PowerHouse Data'!$R$12</f>
        <v>0</v>
      </c>
      <c r="G17" s="13">
        <f>Table113456[[#This Row],[Main Tank
Opening Stock (Liters)]]-Table113456[[#This Row],[Main Tank
Closing Stock (Liters)]]+Table113456[[#This Row],[Received (Liters)]]</f>
        <v>865.5</v>
      </c>
      <c r="H17" s="13">
        <f t="shared" si="1"/>
        <v>43225.5</v>
      </c>
      <c r="I17" s="31">
        <f>Table113456[[#This Row],[Main Tank
Closing Stock (Liters)]]+V17</f>
        <v>48409.5</v>
      </c>
      <c r="J17" s="13">
        <f>Table113456[[#This Row],[DG Milling Run Hr Meter]]-K16</f>
        <v>3.5</v>
      </c>
      <c r="K17" s="31">
        <f>'PowerHouse Data'!$R$8</f>
        <v>5649.7</v>
      </c>
      <c r="L17" s="13">
        <f>Table113456[[#This Row],[DG Parboiling 
Run Hr Meter]]-M16</f>
        <v>3.5</v>
      </c>
      <c r="M17" s="31">
        <f>'PowerHouse Data'!$R$9</f>
        <v>12516.4</v>
      </c>
      <c r="N17" s="19">
        <v>5824</v>
      </c>
      <c r="O17" s="19">
        <f>Table113456[[#This Row],[DG Parboiling 
Run Hr Meter2]]-Table113456[[#This Row],[DG Milling Run Hr Meter]]</f>
        <v>174.30000000000018</v>
      </c>
      <c r="P17" s="19">
        <v>12643.5</v>
      </c>
      <c r="Q17" s="14">
        <f>Table113456[[#This Row],[DG Parboiling 
Run Hr Meter4]]-Table113456[[#This Row],[DG Parboiling 
Run Hr Meter]]</f>
        <v>127.10000000000036</v>
      </c>
      <c r="R17" s="31">
        <f>'PowerHouse Data'!$R$13</f>
        <v>0</v>
      </c>
      <c r="S17" s="13">
        <f>Table113456[[#This Row],[Main Tank
Consumption (Liters)]]-(Table113456[[#This Row],[DIESEL ISSUE]]+R16)</f>
        <v>765.5</v>
      </c>
      <c r="T17" s="30">
        <v>28</v>
      </c>
      <c r="U17" s="30">
        <v>80</v>
      </c>
      <c r="V17" s="37">
        <f>'PowerHouse Data'!$R$14</f>
        <v>5184</v>
      </c>
      <c r="AA17" s="35"/>
    </row>
    <row r="18" spans="1:27" ht="18" customHeight="1" x14ac:dyDescent="0.35">
      <c r="A18" s="17">
        <v>46218</v>
      </c>
      <c r="B18" s="18">
        <v>0.29166666666666669</v>
      </c>
      <c r="C18" s="13">
        <f t="shared" si="2"/>
        <v>2426</v>
      </c>
      <c r="D18" s="31">
        <f>'PowerHouse Data'!$S$2</f>
        <v>2426</v>
      </c>
      <c r="E18" s="13">
        <f t="shared" si="0"/>
        <v>43225.5</v>
      </c>
      <c r="F18" s="13">
        <f>'PowerHouse Data'!$S$12</f>
        <v>0</v>
      </c>
      <c r="G18" s="13">
        <f>Table113456[[#This Row],[Main Tank
Opening Stock (Liters)]]-Table113456[[#This Row],[Main Tank
Closing Stock (Liters)]]+Table113456[[#This Row],[Received (Liters)]]</f>
        <v>0</v>
      </c>
      <c r="H18" s="13">
        <f t="shared" si="1"/>
        <v>43225.5</v>
      </c>
      <c r="I18" s="31">
        <f>Table113456[[#This Row],[Main Tank
Closing Stock (Liters)]]+V18</f>
        <v>48234.5</v>
      </c>
      <c r="J18" s="13">
        <f>Table113456[[#This Row],[DG Milling Run Hr Meter]]-K17</f>
        <v>0</v>
      </c>
      <c r="K18" s="31">
        <f>'PowerHouse Data'!$S$8</f>
        <v>5649.7</v>
      </c>
      <c r="L18" s="13">
        <f>Table113456[[#This Row],[DG Parboiling 
Run Hr Meter]]-M17</f>
        <v>0</v>
      </c>
      <c r="M18" s="31">
        <f>'PowerHouse Data'!$S$9</f>
        <v>12516.4</v>
      </c>
      <c r="N18" s="13">
        <v>5824</v>
      </c>
      <c r="O18" s="13">
        <f>Table113456[[#This Row],[DG Parboiling 
Run Hr Meter2]]-Table113456[[#This Row],[DG Milling Run Hr Meter]]</f>
        <v>174.30000000000018</v>
      </c>
      <c r="P18" s="13">
        <v>12643.5</v>
      </c>
      <c r="Q18" s="13">
        <f>Table113456[[#This Row],[DG Parboiling 
Run Hr Meter4]]-Table113456[[#This Row],[DG Parboiling 
Run Hr Meter]]</f>
        <v>127.10000000000036</v>
      </c>
      <c r="R18" s="31">
        <f>'PowerHouse Data'!$S$13</f>
        <v>175</v>
      </c>
      <c r="S18" s="13">
        <f>Table113456[[#This Row],[DIESEL ISSUE]]+Table113456[[#This Row],[Main Tank
Consumption (Liters)]]</f>
        <v>175</v>
      </c>
      <c r="T18" s="30">
        <v>30</v>
      </c>
      <c r="U18" s="30">
        <v>89</v>
      </c>
      <c r="V18" s="38">
        <f>'PowerHouse Data'!$S$14</f>
        <v>5009</v>
      </c>
    </row>
    <row r="19" spans="1:27" ht="18" customHeight="1" x14ac:dyDescent="0.35">
      <c r="A19" s="17">
        <v>46219</v>
      </c>
      <c r="B19" s="18">
        <v>0.29166666666666669</v>
      </c>
      <c r="C19" s="13">
        <f t="shared" si="2"/>
        <v>2426</v>
      </c>
      <c r="D19" s="31">
        <f>'PowerHouse Data'!$T$2</f>
        <v>2338</v>
      </c>
      <c r="E19" s="13">
        <f t="shared" si="0"/>
        <v>43225.5</v>
      </c>
      <c r="F19" s="13">
        <f>'PowerHouse Data'!$T$12</f>
        <v>0</v>
      </c>
      <c r="G19" s="13">
        <f>Table113456[[#This Row],[Main Tank
Opening Stock (Liters)]]-Table113456[[#This Row],[Main Tank
Closing Stock (Liters)]]+Table113456[[#This Row],[Received (Liters)]]</f>
        <v>1253.5</v>
      </c>
      <c r="H19" s="13">
        <f t="shared" si="1"/>
        <v>41972</v>
      </c>
      <c r="I19" s="31">
        <f>Table113456[[#This Row],[Main Tank
Closing Stock (Liters)]]+V19</f>
        <v>47156</v>
      </c>
      <c r="J19" s="13">
        <f>Table113456[[#This Row],[DG Milling Run Hr Meter]]-K18</f>
        <v>2.1000000000003638</v>
      </c>
      <c r="K19" s="31">
        <f>'PowerHouse Data'!$T$8</f>
        <v>5651.8</v>
      </c>
      <c r="L19" s="13">
        <f>Table113456[[#This Row],[DG Parboiling 
Run Hr Meter]]-M18</f>
        <v>2.1000000000003638</v>
      </c>
      <c r="M19" s="31">
        <f>'PowerHouse Data'!$T$9</f>
        <v>12518.5</v>
      </c>
      <c r="N19" s="19">
        <v>5824</v>
      </c>
      <c r="O19" s="19">
        <f>Table113456[[#This Row],[DG Parboiling 
Run Hr Meter2]]-Table113456[[#This Row],[DG Milling Run Hr Meter]]</f>
        <v>172.19999999999982</v>
      </c>
      <c r="P19" s="19">
        <v>12643.5</v>
      </c>
      <c r="Q19" s="14">
        <f>Table113456[[#This Row],[DG Parboiling 
Run Hr Meter4]]-Table113456[[#This Row],[DG Parboiling 
Run Hr Meter]]</f>
        <v>125</v>
      </c>
      <c r="R19" s="31">
        <f>'PowerHouse Data'!$T$13</f>
        <v>75</v>
      </c>
      <c r="S19" s="13">
        <f>Table113456[[#This Row],[Main Tank
Consumption (Liters)]]-Table113456[[#This Row],[DIESEL ISSUE]]</f>
        <v>1178.5</v>
      </c>
      <c r="T19" s="30">
        <v>32</v>
      </c>
      <c r="U19" s="30">
        <v>98</v>
      </c>
      <c r="V19" s="37">
        <f>'PowerHouse Data'!$T$14</f>
        <v>5184</v>
      </c>
      <c r="AA19" s="35"/>
    </row>
    <row r="20" spans="1:27" ht="18" customHeight="1" x14ac:dyDescent="0.35">
      <c r="A20" s="17">
        <v>46220</v>
      </c>
      <c r="B20" s="18">
        <v>0.29166666666666669</v>
      </c>
      <c r="C20" s="13">
        <f t="shared" si="2"/>
        <v>2338</v>
      </c>
      <c r="D20" s="31">
        <f>'PowerHouse Data'!$U$2</f>
        <v>2296</v>
      </c>
      <c r="E20" s="13">
        <f t="shared" si="0"/>
        <v>41972</v>
      </c>
      <c r="F20" s="13">
        <f>'PowerHouse Data'!$U$12</f>
        <v>0</v>
      </c>
      <c r="G20" s="13">
        <f>Table113456[[#This Row],[Main Tank
Opening Stock (Liters)]]-Table113456[[#This Row],[Main Tank
Closing Stock (Liters)]]+Table113456[[#This Row],[Received (Liters)]]</f>
        <v>644</v>
      </c>
      <c r="H20" s="13">
        <f t="shared" si="1"/>
        <v>41328</v>
      </c>
      <c r="I20" s="31">
        <f>Table113456[[#This Row],[Main Tank
Closing Stock (Liters)]]+V20</f>
        <v>46512</v>
      </c>
      <c r="J20" s="13">
        <f>Table113456[[#This Row],[DG Milling Run Hr Meter]]-K19</f>
        <v>2.8000000000001819</v>
      </c>
      <c r="K20" s="31">
        <f>'PowerHouse Data'!$U$8</f>
        <v>5654.6</v>
      </c>
      <c r="L20" s="13">
        <f>Table113456[[#This Row],[DG Parboiling 
Run Hr Meter]]-M19</f>
        <v>2.7999999999992724</v>
      </c>
      <c r="M20" s="31">
        <f>'PowerHouse Data'!$U$9</f>
        <v>12521.3</v>
      </c>
      <c r="N20" s="13">
        <v>5824</v>
      </c>
      <c r="O20" s="13">
        <f>Table113456[[#This Row],[DG Parboiling 
Run Hr Meter2]]-Table113456[[#This Row],[DG Milling Run Hr Meter]]</f>
        <v>169.39999999999964</v>
      </c>
      <c r="P20" s="13">
        <v>12643.5</v>
      </c>
      <c r="Q20" s="13">
        <f>Table113456[[#This Row],[DG Parboiling 
Run Hr Meter4]]-Table113456[[#This Row],[DG Parboiling 
Run Hr Meter]]</f>
        <v>122.20000000000073</v>
      </c>
      <c r="R20" s="31">
        <f>'PowerHouse Data'!$U$13</f>
        <v>0</v>
      </c>
      <c r="S20" s="13">
        <f>Table113456[[#This Row],[Main Tank
Consumption (Liters)]]+Table113456[[#This Row],[DIESEL ISSUE]]</f>
        <v>644</v>
      </c>
      <c r="T20" s="30">
        <v>34</v>
      </c>
      <c r="U20" s="30">
        <v>107</v>
      </c>
      <c r="V20" s="38">
        <f>'PowerHouse Data'!$U$14</f>
        <v>5184</v>
      </c>
    </row>
    <row r="21" spans="1:27" ht="18" customHeight="1" x14ac:dyDescent="0.35">
      <c r="A21" s="17">
        <v>46221</v>
      </c>
      <c r="B21" s="18">
        <v>0.29166666666666669</v>
      </c>
      <c r="C21" s="13">
        <f t="shared" si="2"/>
        <v>2296</v>
      </c>
      <c r="D21" s="31">
        <f>'PowerHouse Data'!$V$2</f>
        <v>2296</v>
      </c>
      <c r="E21" s="13">
        <f t="shared" si="0"/>
        <v>41328</v>
      </c>
      <c r="F21" s="13">
        <f>'PowerHouse Data'!$V$12</f>
        <v>0</v>
      </c>
      <c r="G21" s="13">
        <f>Table113456[[#This Row],[Main Tank
Opening Stock (Liters)]]-Table113456[[#This Row],[Main Tank
Closing Stock (Liters)]]+Table113456[[#This Row],[Received (Liters)]]</f>
        <v>0</v>
      </c>
      <c r="H21" s="13">
        <f t="shared" si="1"/>
        <v>41328</v>
      </c>
      <c r="I21" s="31">
        <f>Table113456[[#This Row],[Main Tank
Closing Stock (Liters)]]+V21</f>
        <v>46512</v>
      </c>
      <c r="J21" s="13">
        <f>Table113456[[#This Row],[DG Milling Run Hr Meter]]-K20</f>
        <v>0</v>
      </c>
      <c r="K21" s="31">
        <f>'PowerHouse Data'!$V$8</f>
        <v>5654.6</v>
      </c>
      <c r="L21" s="13">
        <f>Table113456[[#This Row],[DG Parboiling 
Run Hr Meter]]-M20</f>
        <v>0</v>
      </c>
      <c r="M21" s="31">
        <f>'PowerHouse Data'!$V$9</f>
        <v>12521.3</v>
      </c>
      <c r="N21" s="19">
        <v>5824</v>
      </c>
      <c r="O21" s="19">
        <f>Table113456[[#This Row],[DG Parboiling 
Run Hr Meter2]]-Table113456[[#This Row],[DG Milling Run Hr Meter]]</f>
        <v>169.39999999999964</v>
      </c>
      <c r="P21" s="19">
        <v>12643.5</v>
      </c>
      <c r="Q21" s="14">
        <f>Table113456[[#This Row],[DG Parboiling 
Run Hr Meter4]]-Table113456[[#This Row],[DG Parboiling 
Run Hr Meter]]</f>
        <v>122.20000000000073</v>
      </c>
      <c r="R21" s="31">
        <f>'PowerHouse Data'!$V$13</f>
        <v>0</v>
      </c>
      <c r="S21" s="13">
        <f>Table113456[[#This Row],[Main Tank
Consumption (Liters)]]+Table113456[[#This Row],[DIESEL ISSUE]]</f>
        <v>0</v>
      </c>
      <c r="T21" s="30">
        <v>36</v>
      </c>
      <c r="U21" s="30">
        <v>116</v>
      </c>
      <c r="V21" s="37">
        <f>'PowerHouse Data'!$V$14</f>
        <v>5184</v>
      </c>
      <c r="AA21" s="35"/>
    </row>
    <row r="22" spans="1:27" ht="18" customHeight="1" x14ac:dyDescent="0.35">
      <c r="A22" s="17">
        <v>46222</v>
      </c>
      <c r="B22" s="18">
        <v>0.29166666666666669</v>
      </c>
      <c r="C22" s="13">
        <f t="shared" si="2"/>
        <v>2296</v>
      </c>
      <c r="D22" s="31">
        <f>'PowerHouse Data'!$W$2</f>
        <v>2296</v>
      </c>
      <c r="E22" s="13">
        <f t="shared" si="0"/>
        <v>41328</v>
      </c>
      <c r="F22" s="13">
        <f>'PowerHouse Data'!$W$12</f>
        <v>0</v>
      </c>
      <c r="G22" s="13">
        <f>Table113456[[#This Row],[Main Tank
Opening Stock (Liters)]]-Table113456[[#This Row],[Main Tank
Closing Stock (Liters)]]+Table113456[[#This Row],[Received (Liters)]]</f>
        <v>0</v>
      </c>
      <c r="H22" s="13">
        <f t="shared" si="1"/>
        <v>41328</v>
      </c>
      <c r="I22" s="31">
        <f>Table113456[[#This Row],[Main Tank
Closing Stock (Liters)]]+V22</f>
        <v>46512</v>
      </c>
      <c r="J22" s="13">
        <f>Table113456[[#This Row],[DG Milling Run Hr Meter]]-K21</f>
        <v>0</v>
      </c>
      <c r="K22" s="31">
        <f>'PowerHouse Data'!$W$8</f>
        <v>5654.6</v>
      </c>
      <c r="L22" s="13">
        <f>Table113456[[#This Row],[DG Parboiling 
Run Hr Meter]]-M21</f>
        <v>0</v>
      </c>
      <c r="M22" s="31">
        <f>'PowerHouse Data'!$W$9</f>
        <v>12521.3</v>
      </c>
      <c r="N22" s="13">
        <v>5824</v>
      </c>
      <c r="O22" s="13">
        <f>Table113456[[#This Row],[DG Parboiling 
Run Hr Meter2]]-Table113456[[#This Row],[DG Milling Run Hr Meter]]</f>
        <v>169.39999999999964</v>
      </c>
      <c r="P22" s="13">
        <v>12643.5</v>
      </c>
      <c r="Q22" s="13">
        <f>Table113456[[#This Row],[DG Parboiling 
Run Hr Meter4]]-Table113456[[#This Row],[DG Parboiling 
Run Hr Meter]]</f>
        <v>122.20000000000073</v>
      </c>
      <c r="R22" s="31">
        <f>'PowerHouse Data'!$W$13</f>
        <v>0</v>
      </c>
      <c r="S22" s="13">
        <f>Table113456[[#This Row],[Main Tank
Consumption (Liters)]]+Table113456[[#This Row],[DIESEL ISSUE]]</f>
        <v>0</v>
      </c>
      <c r="T22" s="30">
        <v>38</v>
      </c>
      <c r="U22" s="30">
        <v>126</v>
      </c>
      <c r="V22" s="38">
        <f>'PowerHouse Data'!$W$14</f>
        <v>5184</v>
      </c>
    </row>
    <row r="23" spans="1:27" ht="18" customHeight="1" x14ac:dyDescent="0.35">
      <c r="A23" s="17">
        <v>46223</v>
      </c>
      <c r="B23" s="18">
        <v>0.29166666666666669</v>
      </c>
      <c r="C23" s="13">
        <f t="shared" si="2"/>
        <v>2296</v>
      </c>
      <c r="D23" s="31">
        <f>'PowerHouse Data'!$X$2</f>
        <v>2284</v>
      </c>
      <c r="E23" s="13">
        <f t="shared" si="0"/>
        <v>41328</v>
      </c>
      <c r="F23" s="13">
        <f>'PowerHouse Data'!$X$12</f>
        <v>0</v>
      </c>
      <c r="G23" s="13">
        <f>Table113456[[#This Row],[Main Tank
Opening Stock (Liters)]]-Table113456[[#This Row],[Main Tank
Closing Stock (Liters)]]+Table113456[[#This Row],[Received (Liters)]]</f>
        <v>188</v>
      </c>
      <c r="H23" s="13">
        <f t="shared" si="1"/>
        <v>41140</v>
      </c>
      <c r="I23" s="31">
        <f>Table113456[[#This Row],[Main Tank
Closing Stock (Liters)]]+V23</f>
        <v>46324</v>
      </c>
      <c r="J23" s="13">
        <f>Table113456[[#This Row],[DG Milling Run Hr Meter]]-K22</f>
        <v>0.8999999999996362</v>
      </c>
      <c r="K23" s="31">
        <f>'PowerHouse Data'!$X$8</f>
        <v>5655.5</v>
      </c>
      <c r="L23" s="13">
        <f>Table113456[[#This Row],[DG Parboiling 
Run Hr Meter]]-M22</f>
        <v>0.90000000000145519</v>
      </c>
      <c r="M23" s="31">
        <f>'PowerHouse Data'!$X$9</f>
        <v>12522.2</v>
      </c>
      <c r="N23" s="19">
        <v>5824</v>
      </c>
      <c r="O23" s="19">
        <f>Table113456[[#This Row],[DG Parboiling 
Run Hr Meter2]]-Table113456[[#This Row],[DG Milling Run Hr Meter]]</f>
        <v>168.5</v>
      </c>
      <c r="P23" s="19">
        <v>12643.5</v>
      </c>
      <c r="Q23" s="14">
        <f>Table113456[[#This Row],[DG Parboiling 
Run Hr Meter4]]-Table113456[[#This Row],[DG Parboiling 
Run Hr Meter]]</f>
        <v>121.29999999999927</v>
      </c>
      <c r="R23" s="31">
        <f>'PowerHouse Data'!$X$13</f>
        <v>85</v>
      </c>
      <c r="S23" s="13">
        <f>Table113456[[#This Row],[Main Tank
Consumption (Liters)]]-Table113456[[#This Row],[DIESEL ISSUE]]</f>
        <v>103</v>
      </c>
      <c r="T23" s="30">
        <v>40</v>
      </c>
      <c r="U23" s="30">
        <v>136</v>
      </c>
      <c r="V23" s="37">
        <f>'PowerHouse Data'!$X$14</f>
        <v>5184</v>
      </c>
      <c r="AA23" s="35"/>
    </row>
    <row r="24" spans="1:27" ht="18" customHeight="1" x14ac:dyDescent="0.35">
      <c r="A24" s="17">
        <v>46224</v>
      </c>
      <c r="B24" s="18">
        <v>0.29166666666666669</v>
      </c>
      <c r="C24" s="13">
        <f t="shared" si="2"/>
        <v>2284</v>
      </c>
      <c r="D24" s="31">
        <f>'PowerHouse Data'!$Y$2</f>
        <v>2268</v>
      </c>
      <c r="E24" s="13">
        <f t="shared" si="0"/>
        <v>41140</v>
      </c>
      <c r="F24" s="13">
        <f>'PowerHouse Data'!$Y$12</f>
        <v>0</v>
      </c>
      <c r="G24" s="13">
        <f>Table113456[[#This Row],[Main Tank
Opening Stock (Liters)]]-Table113456[[#This Row],[Main Tank
Closing Stock (Liters)]]+Table113456[[#This Row],[Received (Liters)]]</f>
        <v>256</v>
      </c>
      <c r="H24" s="13">
        <f t="shared" si="1"/>
        <v>40884</v>
      </c>
      <c r="I24" s="31">
        <f>Table113456[[#This Row],[Main Tank
Closing Stock (Liters)]]+V24</f>
        <v>46068</v>
      </c>
      <c r="J24" s="13">
        <f>Table113456[[#This Row],[DG Milling Run Hr Meter]]-K23</f>
        <v>1.1000000000003638</v>
      </c>
      <c r="K24" s="31">
        <f>'PowerHouse Data'!$Y$8</f>
        <v>5656.6</v>
      </c>
      <c r="L24" s="13">
        <f>Table113456[[#This Row],[DG Parboiling 
Run Hr Meter]]-M23</f>
        <v>1.0999999999985448</v>
      </c>
      <c r="M24" s="31">
        <f>'PowerHouse Data'!$Y$9</f>
        <v>12523.3</v>
      </c>
      <c r="N24" s="13">
        <v>5824</v>
      </c>
      <c r="O24" s="13">
        <f>Table113456[[#This Row],[DG Parboiling 
Run Hr Meter2]]-Table113456[[#This Row],[DG Milling Run Hr Meter]]</f>
        <v>167.39999999999964</v>
      </c>
      <c r="P24" s="13">
        <v>12643.5</v>
      </c>
      <c r="Q24" s="13">
        <f>Table113456[[#This Row],[DG Parboiling 
Run Hr Meter4]]-Table113456[[#This Row],[DG Parboiling 
Run Hr Meter]]</f>
        <v>120.20000000000073</v>
      </c>
      <c r="R24" s="31">
        <f>'PowerHouse Data'!$Y$13</f>
        <v>0</v>
      </c>
      <c r="S24" s="13">
        <f>Table113456[[#This Row],[Main Tank
Consumption (Liters)]]-Table113456[[#This Row],[DIESEL ISSUE]]</f>
        <v>256</v>
      </c>
      <c r="T24" s="30">
        <v>42</v>
      </c>
      <c r="U24" s="30">
        <v>146.5</v>
      </c>
      <c r="V24" s="38">
        <f>'PowerHouse Data'!$Y$14</f>
        <v>5184</v>
      </c>
    </row>
    <row r="25" spans="1:27" ht="18" customHeight="1" x14ac:dyDescent="0.35">
      <c r="A25" s="17">
        <v>46225</v>
      </c>
      <c r="B25" s="18">
        <v>0.29166666666666669</v>
      </c>
      <c r="C25" s="13">
        <f t="shared" si="2"/>
        <v>2268</v>
      </c>
      <c r="D25" s="31">
        <f>'PowerHouse Data'!$Z$2</f>
        <v>2224</v>
      </c>
      <c r="E25" s="13">
        <f t="shared" si="0"/>
        <v>40884</v>
      </c>
      <c r="F25" s="13">
        <f>'PowerHouse Data'!$Z$12</f>
        <v>0</v>
      </c>
      <c r="G25" s="13">
        <f>Table113456[[#This Row],[Main Tank
Opening Stock (Liters)]]-Table113456[[#This Row],[Main Tank
Closing Stock (Liters)]]+Table113456[[#This Row],[Received (Liters)]]</f>
        <v>719</v>
      </c>
      <c r="H25" s="13">
        <f t="shared" si="1"/>
        <v>40165</v>
      </c>
      <c r="I25" s="31">
        <f>Table113456[[#This Row],[Main Tank
Closing Stock (Liters)]]+V25</f>
        <v>45349</v>
      </c>
      <c r="J25" s="13">
        <f>Table113456[[#This Row],[DG Milling Run Hr Meter]]-K24</f>
        <v>3.0999999999994543</v>
      </c>
      <c r="K25" s="31">
        <f>'PowerHouse Data'!$Z$8</f>
        <v>5659.7</v>
      </c>
      <c r="L25" s="13">
        <f>Table113456[[#This Row],[DG Parboiling 
Run Hr Meter]]-M24</f>
        <v>3.1000000000003638</v>
      </c>
      <c r="M25" s="31">
        <f>'PowerHouse Data'!$Z$9</f>
        <v>12526.4</v>
      </c>
      <c r="N25" s="19">
        <v>5824</v>
      </c>
      <c r="O25" s="19">
        <f>Table113456[[#This Row],[DG Parboiling 
Run Hr Meter2]]-Table113456[[#This Row],[DG Milling Run Hr Meter]]</f>
        <v>164.30000000000018</v>
      </c>
      <c r="P25" s="19">
        <v>12643.5</v>
      </c>
      <c r="Q25" s="14">
        <f>Table113456[[#This Row],[DG Parboiling 
Run Hr Meter4]]-Table113456[[#This Row],[DG Parboiling 
Run Hr Meter]]</f>
        <v>117.10000000000036</v>
      </c>
      <c r="R25" s="31">
        <f>'PowerHouse Data'!$Z$13</f>
        <v>0</v>
      </c>
      <c r="S25" s="13">
        <f>Table113456[[#This Row],[Main Tank
Consumption (Liters)]]-Table113456[[#This Row],[DIESEL ISSUE]]</f>
        <v>719</v>
      </c>
      <c r="T25" s="30">
        <v>44</v>
      </c>
      <c r="U25" s="30">
        <v>157</v>
      </c>
      <c r="V25" s="37">
        <f>'PowerHouse Data'!$Z$14</f>
        <v>5184</v>
      </c>
      <c r="AA25" s="35"/>
    </row>
    <row r="26" spans="1:27" ht="18" customHeight="1" x14ac:dyDescent="0.35">
      <c r="A26" s="17">
        <v>46226</v>
      </c>
      <c r="B26" s="18">
        <v>0.29166666666666669</v>
      </c>
      <c r="C26" s="13">
        <f>D25</f>
        <v>2224</v>
      </c>
      <c r="D26" s="31">
        <f>'PowerHouse Data'!$AA$2</f>
        <v>2174</v>
      </c>
      <c r="E26" s="13">
        <f t="shared" si="0"/>
        <v>40165</v>
      </c>
      <c r="F26" s="13">
        <f>'PowerHouse Data'!$AA$12</f>
        <v>0</v>
      </c>
      <c r="G26" s="13">
        <f>Table113456[[#This Row],[Main Tank
Opening Stock (Liters)]]-Table113456[[#This Row],[Main Tank
Closing Stock (Liters)]]+Table113456[[#This Row],[Received (Liters)]]</f>
        <v>848</v>
      </c>
      <c r="H26" s="13">
        <f t="shared" si="1"/>
        <v>39317</v>
      </c>
      <c r="I26" s="31">
        <f>Table113456[[#This Row],[Main Tank
Closing Stock (Liters)]]+V26</f>
        <v>44501</v>
      </c>
      <c r="J26" s="13">
        <f>Table113456[[#This Row],[DG Milling Run Hr Meter]]-K25</f>
        <v>3</v>
      </c>
      <c r="K26" s="31">
        <f>'PowerHouse Data'!$AA$8</f>
        <v>5662.7</v>
      </c>
      <c r="L26" s="13">
        <f>Table113456[[#This Row],[DG Parboiling 
Run Hr Meter]]-M25</f>
        <v>3</v>
      </c>
      <c r="M26" s="31">
        <f>'PowerHouse Data'!$AA$9</f>
        <v>12529.4</v>
      </c>
      <c r="N26" s="13">
        <v>5824</v>
      </c>
      <c r="O26" s="13">
        <f>Table113456[[#This Row],[DG Parboiling 
Run Hr Meter2]]-Table113456[[#This Row],[DG Milling Run Hr Meter]]</f>
        <v>161.30000000000018</v>
      </c>
      <c r="P26" s="13">
        <v>12643.5</v>
      </c>
      <c r="Q26" s="13">
        <f>Table113456[[#This Row],[DG Parboiling 
Run Hr Meter4]]-Table113456[[#This Row],[DG Parboiling 
Run Hr Meter]]</f>
        <v>114.10000000000036</v>
      </c>
      <c r="R26" s="31">
        <f>'PowerHouse Data'!$AA$13</f>
        <v>75</v>
      </c>
      <c r="S26" s="13">
        <f>Table113456[[#This Row],[Main Tank
Consumption (Liters)]]-Table113456[[#This Row],[DIESEL ISSUE]]</f>
        <v>773</v>
      </c>
      <c r="T26" s="30">
        <v>46</v>
      </c>
      <c r="U26" s="30">
        <v>168</v>
      </c>
      <c r="V26" s="38">
        <f>'PowerHouse Data'!$AA$14</f>
        <v>5184</v>
      </c>
      <c r="AA26" s="35"/>
    </row>
    <row r="27" spans="1:27" ht="18" customHeight="1" x14ac:dyDescent="0.35">
      <c r="A27" s="17">
        <v>46227</v>
      </c>
      <c r="B27" s="18">
        <v>0.29166666666666669</v>
      </c>
      <c r="C27" s="13">
        <f t="shared" si="2"/>
        <v>2174</v>
      </c>
      <c r="D27" s="31">
        <f>'PowerHouse Data'!$AB$2</f>
        <v>2174</v>
      </c>
      <c r="E27" s="13">
        <f t="shared" si="0"/>
        <v>39317</v>
      </c>
      <c r="F27" s="13">
        <f>'PowerHouse Data'!$AB$12</f>
        <v>0</v>
      </c>
      <c r="G27" s="13">
        <f>Table113456[[#This Row],[Main Tank
Opening Stock (Liters)]]-Table113456[[#This Row],[Main Tank
Closing Stock (Liters)]]+Table113456[[#This Row],[Received (Liters)]]</f>
        <v>0</v>
      </c>
      <c r="H27" s="13">
        <f t="shared" si="1"/>
        <v>39317</v>
      </c>
      <c r="I27" s="31">
        <f>Table113456[[#This Row],[Main Tank
Closing Stock (Liters)]]+V27</f>
        <v>44501</v>
      </c>
      <c r="J27" s="13">
        <f>Table113456[[#This Row],[DG Milling Run Hr Meter]]-K26</f>
        <v>0</v>
      </c>
      <c r="K27" s="31">
        <f>'PowerHouse Data'!$AB$8</f>
        <v>5662.7</v>
      </c>
      <c r="L27" s="13">
        <f>Table113456[[#This Row],[DG Parboiling 
Run Hr Meter]]-M26</f>
        <v>0</v>
      </c>
      <c r="M27" s="31">
        <f>'PowerHouse Data'!$AB$9</f>
        <v>12529.4</v>
      </c>
      <c r="N27" s="19">
        <v>5824</v>
      </c>
      <c r="O27" s="19">
        <f>Table113456[[#This Row],[DG Parboiling 
Run Hr Meter2]]-Table113456[[#This Row],[DG Milling Run Hr Meter]]</f>
        <v>161.30000000000018</v>
      </c>
      <c r="P27" s="19">
        <v>12643.5</v>
      </c>
      <c r="Q27" s="14">
        <f>Table113456[[#This Row],[DG Parboiling 
Run Hr Meter4]]-Table113456[[#This Row],[DG Parboiling 
Run Hr Meter]]</f>
        <v>114.10000000000036</v>
      </c>
      <c r="R27" s="31">
        <f>'PowerHouse Data'!$AB$13</f>
        <v>0</v>
      </c>
      <c r="S27" s="13">
        <f>Table113456[[#This Row],[Main Tank
Consumption (Liters)]]-Table113456[[#This Row],[DIESEL ISSUE]]</f>
        <v>0</v>
      </c>
      <c r="T27" s="30">
        <v>48</v>
      </c>
      <c r="U27" s="30">
        <v>179</v>
      </c>
      <c r="V27" s="37">
        <f>'PowerHouse Data'!$AB$14</f>
        <v>5184</v>
      </c>
      <c r="AA27" s="35"/>
    </row>
    <row r="28" spans="1:27" ht="18" customHeight="1" x14ac:dyDescent="0.35">
      <c r="A28" s="17">
        <v>46228</v>
      </c>
      <c r="B28" s="18">
        <v>0.29166666666666669</v>
      </c>
      <c r="C28" s="13">
        <f t="shared" si="2"/>
        <v>2174</v>
      </c>
      <c r="D28" s="31">
        <f>'PowerHouse Data'!$AC$2</f>
        <v>2150</v>
      </c>
      <c r="E28" s="13">
        <f t="shared" si="0"/>
        <v>39317</v>
      </c>
      <c r="F28" s="13">
        <f>'PowerHouse Data'!$AC$12</f>
        <v>0</v>
      </c>
      <c r="G28" s="13">
        <f>Table113456[[#This Row],[Main Tank
Opening Stock (Liters)]]-Table113456[[#This Row],[Main Tank
Closing Stock (Liters)]]+Table113456[[#This Row],[Received (Liters)]]</f>
        <v>418</v>
      </c>
      <c r="H28" s="13">
        <f t="shared" si="1"/>
        <v>38899</v>
      </c>
      <c r="I28" s="31">
        <f>Table113456[[#This Row],[Main Tank
Closing Stock (Liters)]]+V28</f>
        <v>44083</v>
      </c>
      <c r="J28" s="13">
        <f>Table113456[[#This Row],[DG Milling Run Hr Meter]]-K27</f>
        <v>1.6000000000003638</v>
      </c>
      <c r="K28" s="31">
        <f>'PowerHouse Data'!$AC$8</f>
        <v>5664.3</v>
      </c>
      <c r="L28" s="13">
        <f>Table113456[[#This Row],[DG Parboiling 
Run Hr Meter]]-M27</f>
        <v>2.8999999999996362</v>
      </c>
      <c r="M28" s="31">
        <f>'PowerHouse Data'!$AC$9</f>
        <v>12532.3</v>
      </c>
      <c r="N28" s="13">
        <v>5824</v>
      </c>
      <c r="O28" s="13">
        <f>Table113456[[#This Row],[DG Parboiling 
Run Hr Meter2]]-Table113456[[#This Row],[DG Milling Run Hr Meter]]</f>
        <v>159.69999999999982</v>
      </c>
      <c r="P28" s="13">
        <v>12643.5</v>
      </c>
      <c r="Q28" s="13">
        <f>Table113456[[#This Row],[DG Parboiling 
Run Hr Meter4]]-Table113456[[#This Row],[DG Parboiling 
Run Hr Meter]]</f>
        <v>111.20000000000073</v>
      </c>
      <c r="R28" s="31">
        <f>'PowerHouse Data'!$AC$13</f>
        <v>0</v>
      </c>
      <c r="S28" s="13">
        <f>Table113456[[#This Row],[Main Tank
Consumption (Liters)]]-Table113456[[#This Row],[DIESEL ISSUE]]</f>
        <v>418</v>
      </c>
      <c r="T28" s="30">
        <v>50</v>
      </c>
      <c r="U28" s="30">
        <v>190.5</v>
      </c>
      <c r="V28" s="38">
        <f>'PowerHouse Data'!$AC$14</f>
        <v>5184</v>
      </c>
      <c r="AA28" s="35"/>
    </row>
    <row r="29" spans="1:27" ht="18" customHeight="1" x14ac:dyDescent="0.35">
      <c r="A29" s="17">
        <v>46229</v>
      </c>
      <c r="B29" s="18">
        <v>0.29166666666666669</v>
      </c>
      <c r="C29" s="13">
        <f t="shared" si="2"/>
        <v>2150</v>
      </c>
      <c r="D29" s="31">
        <f>'PowerHouse Data'!$AD$2</f>
        <v>2150</v>
      </c>
      <c r="E29" s="13">
        <f t="shared" si="0"/>
        <v>38899</v>
      </c>
      <c r="F29" s="13">
        <f>'PowerHouse Data'!$AD$12</f>
        <v>0</v>
      </c>
      <c r="G29" s="13">
        <f>Table113456[[#This Row],[Main Tank
Opening Stock (Liters)]]-Table113456[[#This Row],[Main Tank
Closing Stock (Liters)]]+Table113456[[#This Row],[Received (Liters)]]</f>
        <v>0</v>
      </c>
      <c r="H29" s="13">
        <f t="shared" si="1"/>
        <v>38899</v>
      </c>
      <c r="I29" s="31">
        <f>Table113456[[#This Row],[Main Tank
Closing Stock (Liters)]]+V29</f>
        <v>44083</v>
      </c>
      <c r="J29" s="13">
        <f>Table113456[[#This Row],[DG Milling Run Hr Meter]]-K28</f>
        <v>0</v>
      </c>
      <c r="K29" s="31">
        <f>'PowerHouse Data'!$AD$8</f>
        <v>5664.3</v>
      </c>
      <c r="L29" s="13">
        <f>Table113456[[#This Row],[DG Parboiling 
Run Hr Meter]]-M28</f>
        <v>0</v>
      </c>
      <c r="M29" s="31">
        <f>'PowerHouse Data'!$AD$9</f>
        <v>12532.3</v>
      </c>
      <c r="N29" s="19">
        <v>5824</v>
      </c>
      <c r="O29" s="19">
        <f>Table113456[[#This Row],[DG Parboiling 
Run Hr Meter2]]-Table113456[[#This Row],[DG Milling Run Hr Meter]]</f>
        <v>159.69999999999982</v>
      </c>
      <c r="P29" s="19">
        <v>12643.5</v>
      </c>
      <c r="Q29" s="14">
        <f>Table113456[[#This Row],[DG Parboiling 
Run Hr Meter4]]-Table113456[[#This Row],[DG Parboiling 
Run Hr Meter]]</f>
        <v>111.20000000000073</v>
      </c>
      <c r="R29" s="31">
        <f>'PowerHouse Data'!$AD$13</f>
        <v>0</v>
      </c>
      <c r="S29" s="13">
        <f>Table113456[[#This Row],[Main Tank
Consumption (Liters)]]-Table113456[[#This Row],[DIESEL ISSUE]]</f>
        <v>0</v>
      </c>
      <c r="T29" s="30">
        <v>52</v>
      </c>
      <c r="U29" s="30">
        <v>202</v>
      </c>
      <c r="V29" s="37">
        <f>'PowerHouse Data'!$AD$14</f>
        <v>5184</v>
      </c>
      <c r="AA29" s="35"/>
    </row>
    <row r="30" spans="1:27" ht="18" customHeight="1" x14ac:dyDescent="0.35">
      <c r="A30" s="17">
        <v>46230</v>
      </c>
      <c r="B30" s="18">
        <v>0.29166666666666669</v>
      </c>
      <c r="C30" s="13">
        <f t="shared" si="2"/>
        <v>2150</v>
      </c>
      <c r="D30" s="31">
        <f>'PowerHouse Data'!$AE$2</f>
        <v>2150</v>
      </c>
      <c r="E30" s="13">
        <f t="shared" si="0"/>
        <v>38899</v>
      </c>
      <c r="F30" s="13">
        <f>'PowerHouse Data'!$AE$12</f>
        <v>0</v>
      </c>
      <c r="G30" s="13">
        <f>Table113456[[#This Row],[Main Tank
Opening Stock (Liters)]]-Table113456[[#This Row],[Main Tank
Closing Stock (Liters)]]+Table113456[[#This Row],[Received (Liters)]]</f>
        <v>0</v>
      </c>
      <c r="H30" s="13">
        <f t="shared" si="1"/>
        <v>38899</v>
      </c>
      <c r="I30" s="31">
        <f>Table113456[[#This Row],[Main Tank
Closing Stock (Liters)]]+V30</f>
        <v>44058</v>
      </c>
      <c r="J30" s="13">
        <f>Table113456[[#This Row],[DG Milling Run Hr Meter]]-K29</f>
        <v>0</v>
      </c>
      <c r="K30" s="31">
        <f>'PowerHouse Data'!$AE$8</f>
        <v>5664.3</v>
      </c>
      <c r="L30" s="13">
        <f>Table113456[[#This Row],[DG Parboiling 
Run Hr Meter]]-M29</f>
        <v>0</v>
      </c>
      <c r="M30" s="31">
        <f>'PowerHouse Data'!$AE$9</f>
        <v>12532.3</v>
      </c>
      <c r="N30" s="13">
        <v>5824</v>
      </c>
      <c r="O30" s="13">
        <f>Table113456[[#This Row],[DG Parboiling 
Run Hr Meter2]]-Table113456[[#This Row],[DG Milling Run Hr Meter]]</f>
        <v>159.69999999999982</v>
      </c>
      <c r="P30" s="13">
        <v>12643.5</v>
      </c>
      <c r="Q30" s="13">
        <f>Table113456[[#This Row],[DG Parboiling 
Run Hr Meter4]]-Table113456[[#This Row],[DG Parboiling 
Run Hr Meter]]</f>
        <v>111.20000000000073</v>
      </c>
      <c r="R30" s="31">
        <f>'PowerHouse Data'!$AE$13</f>
        <v>25</v>
      </c>
      <c r="S30" s="13">
        <f>Table113456[[#This Row],[DIESEL ISSUE]]-Table113456[[#This Row],[Main Tank
Consumption (Liters)]]</f>
        <v>25</v>
      </c>
      <c r="T30" s="30">
        <v>54</v>
      </c>
      <c r="U30" s="30">
        <v>214</v>
      </c>
      <c r="V30" s="38">
        <f>'PowerHouse Data'!$AE$14</f>
        <v>5159</v>
      </c>
      <c r="AA30" s="35"/>
    </row>
    <row r="31" spans="1:27" x14ac:dyDescent="0.35">
      <c r="A31" s="17">
        <v>46231</v>
      </c>
      <c r="B31" s="18">
        <v>0.29166666666666669</v>
      </c>
      <c r="C31" s="13">
        <f t="shared" si="2"/>
        <v>2150</v>
      </c>
      <c r="D31" s="31">
        <f>'PowerHouse Data'!$AF$2</f>
        <v>2150</v>
      </c>
      <c r="E31" s="13">
        <f t="shared" si="0"/>
        <v>38899</v>
      </c>
      <c r="F31" s="13">
        <f>'PowerHouse Data'!$AF$12</f>
        <v>0</v>
      </c>
      <c r="G31" s="13">
        <f>Table113456[[#This Row],[Main Tank
Opening Stock (Liters)]]-Table113456[[#This Row],[Main Tank
Closing Stock (Liters)]]+Table113456[[#This Row],[Received (Liters)]]</f>
        <v>0</v>
      </c>
      <c r="H31" s="13">
        <f t="shared" si="1"/>
        <v>38899</v>
      </c>
      <c r="I31" s="31">
        <f>Table113456[[#This Row],[Main Tank
Closing Stock (Liters)]]+V31</f>
        <v>44058</v>
      </c>
      <c r="J31" s="13">
        <f>Table113456[[#This Row],[DG Milling Run Hr Meter]]-K30</f>
        <v>0</v>
      </c>
      <c r="K31" s="31">
        <f>'PowerHouse Data'!$AF$8</f>
        <v>5664.3</v>
      </c>
      <c r="L31" s="13">
        <f>Table113456[[#This Row],[DG Parboiling 
Run Hr Meter]]-M30</f>
        <v>0</v>
      </c>
      <c r="M31" s="31">
        <f>'PowerHouse Data'!$AF$9</f>
        <v>12532.3</v>
      </c>
      <c r="N31" s="19">
        <v>5824</v>
      </c>
      <c r="O31" s="19">
        <f>Table113456[[#This Row],[DG Parboiling 
Run Hr Meter2]]-Table113456[[#This Row],[DG Milling Run Hr Meter]]</f>
        <v>159.69999999999982</v>
      </c>
      <c r="P31" s="19">
        <v>12643.5</v>
      </c>
      <c r="Q31" s="14">
        <f>Table113456[[#This Row],[DG Parboiling 
Run Hr Meter4]]-Table113456[[#This Row],[DG Parboiling 
Run Hr Meter]]</f>
        <v>111.20000000000073</v>
      </c>
      <c r="R31" s="31">
        <f>'PowerHouse Data'!$AF$13</f>
        <v>0</v>
      </c>
      <c r="S31" s="13">
        <f>Table113456[[#This Row],[DIESEL ISSUE]]-Table113456[[#This Row],[Main Tank
Consumption (Liters)]]</f>
        <v>0</v>
      </c>
      <c r="T31" s="30">
        <v>56</v>
      </c>
      <c r="U31" s="30">
        <v>226</v>
      </c>
      <c r="V31" s="37">
        <f>'PowerHouse Data'!$AF$14</f>
        <v>5159</v>
      </c>
      <c r="AA31" s="35"/>
    </row>
    <row r="32" spans="1:27" x14ac:dyDescent="0.35">
      <c r="A32" s="17">
        <v>46232</v>
      </c>
      <c r="B32" s="18">
        <v>0.29166666666666669</v>
      </c>
      <c r="C32" s="13">
        <f t="shared" si="2"/>
        <v>2150</v>
      </c>
      <c r="D32" s="31">
        <f>'PowerHouse Data'!$AG$2</f>
        <v>2150</v>
      </c>
      <c r="E32" s="13">
        <f t="shared" si="0"/>
        <v>38899</v>
      </c>
      <c r="F32" s="13">
        <f>'PowerHouse Data'!$AG$12</f>
        <v>0</v>
      </c>
      <c r="G32" s="13">
        <f>Table113456[[#This Row],[Main Tank
Opening Stock (Liters)]]-Table113456[[#This Row],[Main Tank
Closing Stock (Liters)]]+Table113456[[#This Row],[Received (Liters)]]</f>
        <v>0</v>
      </c>
      <c r="H32" s="13">
        <f t="shared" si="1"/>
        <v>38899</v>
      </c>
      <c r="I32" s="31">
        <f>Table113456[[#This Row],[Main Tank
Closing Stock (Liters)]]+V32</f>
        <v>44058</v>
      </c>
      <c r="J32" s="13">
        <f>Table113456[[#This Row],[DG Milling Run Hr Meter]]-K31</f>
        <v>0</v>
      </c>
      <c r="K32" s="31">
        <f>'PowerHouse Data'!$AG$8</f>
        <v>5664.3</v>
      </c>
      <c r="L32" s="13">
        <f>Table113456[[#This Row],[DG Parboiling 
Run Hr Meter]]-M31</f>
        <v>0</v>
      </c>
      <c r="M32" s="31">
        <f>'PowerHouse Data'!$AG$9</f>
        <v>12532.3</v>
      </c>
      <c r="N32" s="13">
        <v>5824</v>
      </c>
      <c r="O32" s="13">
        <f>Table113456[[#This Row],[DG Parboiling 
Run Hr Meter2]]-Table113456[[#This Row],[DG Milling Run Hr Meter]]</f>
        <v>159.69999999999982</v>
      </c>
      <c r="P32" s="13">
        <v>12643.5</v>
      </c>
      <c r="Q32" s="13">
        <f>Table113456[[#This Row],[DG Parboiling 
Run Hr Meter4]]-Table113456[[#This Row],[DG Parboiling 
Run Hr Meter]]</f>
        <v>111.20000000000073</v>
      </c>
      <c r="R32" s="31">
        <f>'PowerHouse Data'!$AG$13</f>
        <v>0</v>
      </c>
      <c r="S32" s="13">
        <f>Table113456[[#This Row],[DIESEL ISSUE]]-Table113456[[#This Row],[Main Tank
Consumption (Liters)]]</f>
        <v>0</v>
      </c>
      <c r="T32" s="30">
        <v>58</v>
      </c>
      <c r="U32" s="30">
        <v>238.5</v>
      </c>
      <c r="V32" s="38">
        <f>'PowerHouse Data'!$AG$14</f>
        <v>5159</v>
      </c>
      <c r="AA32" s="35"/>
    </row>
    <row r="33" spans="1:27" x14ac:dyDescent="0.35">
      <c r="A33" s="17">
        <v>46233</v>
      </c>
      <c r="B33" s="18"/>
      <c r="C33" s="13">
        <f t="shared" ref="C33:C34" si="3">D32</f>
        <v>2150</v>
      </c>
      <c r="D33" s="31">
        <f>'PowerHouse Data'!$AH$2</f>
        <v>2150</v>
      </c>
      <c r="E33" s="13">
        <f t="shared" si="0"/>
        <v>38899</v>
      </c>
      <c r="F33" s="13">
        <f>'PowerHouse Data'!$AH$12</f>
        <v>0</v>
      </c>
      <c r="G33" s="13">
        <f>Table113456[[#This Row],[Main Tank
Opening Stock (Liters)]]-Table113456[[#This Row],[Main Tank
Closing Stock (Liters)]]+Table113456[[#This Row],[Received (Liters)]]</f>
        <v>0</v>
      </c>
      <c r="H33" s="13">
        <f t="shared" si="1"/>
        <v>38899</v>
      </c>
      <c r="I33" s="31">
        <f>Table113456[[#This Row],[Main Tank
Closing Stock (Liters)]]+V33</f>
        <v>43983</v>
      </c>
      <c r="J33" s="13">
        <f>Table113456[[#This Row],[DG Milling Run Hr Meter]]-K32</f>
        <v>0</v>
      </c>
      <c r="K33" s="31">
        <f>'PowerHouse Data'!$AH$8</f>
        <v>5664.3</v>
      </c>
      <c r="L33" s="13">
        <f>Table113456[[#This Row],[DG Parboiling 
Run Hr Meter]]-M32</f>
        <v>0</v>
      </c>
      <c r="M33" s="31">
        <f>'PowerHouse Data'!$AH$9</f>
        <v>12532.3</v>
      </c>
      <c r="N33" s="13">
        <v>5824</v>
      </c>
      <c r="O33" s="13">
        <f>Table113456[[#This Row],[DG Parboiling 
Run Hr Meter2]]-Table113456[[#This Row],[DG Milling Run Hr Meter]]</f>
        <v>159.69999999999982</v>
      </c>
      <c r="P33" s="13">
        <v>12643.5</v>
      </c>
      <c r="Q33" s="13">
        <f>Table113456[[#This Row],[DG Parboiling 
Run Hr Meter4]]-Table113456[[#This Row],[DG Parboiling 
Run Hr Meter]]</f>
        <v>111.20000000000073</v>
      </c>
      <c r="R33" s="31">
        <f>'PowerHouse Data'!$AH$13</f>
        <v>75</v>
      </c>
      <c r="S33" s="13">
        <f>Table113456[[#This Row],[DIESEL ISSUE]]-Table113456[[#This Row],[Main Tank
Consumption (Liters)]]</f>
        <v>75</v>
      </c>
      <c r="T33" s="30">
        <v>60</v>
      </c>
      <c r="U33" s="30">
        <v>251</v>
      </c>
      <c r="V33" s="39">
        <f>'PowerHouse Data'!$AH$14</f>
        <v>5084</v>
      </c>
      <c r="AA33" s="35"/>
    </row>
    <row r="34" spans="1:27" x14ac:dyDescent="0.35">
      <c r="A34" s="17">
        <v>46234</v>
      </c>
      <c r="B34" s="18"/>
      <c r="C34" s="13">
        <f t="shared" si="3"/>
        <v>2150</v>
      </c>
      <c r="D34" s="31">
        <f>'PowerHouse Data'!$AI$2</f>
        <v>2150</v>
      </c>
      <c r="E34" s="13">
        <f t="shared" si="0"/>
        <v>38899</v>
      </c>
      <c r="F34" s="13">
        <f>'PowerHouse Data'!$AI$12</f>
        <v>0</v>
      </c>
      <c r="G34" s="13">
        <f>Table113456[[#This Row],[Main Tank
Opening Stock (Liters)]]-Table113456[[#This Row],[Main Tank
Closing Stock (Liters)]]+Table113456[[#This Row],[Received (Liters)]]</f>
        <v>0</v>
      </c>
      <c r="H34" s="13">
        <f t="shared" si="1"/>
        <v>38899</v>
      </c>
      <c r="I34" s="31">
        <f>Table113456[[#This Row],[Main Tank
Closing Stock (Liters)]]+V34</f>
        <v>43983</v>
      </c>
      <c r="J34" s="13">
        <f>Table113456[[#This Row],[DG Milling Run Hr Meter]]-K33</f>
        <v>0</v>
      </c>
      <c r="K34" s="31">
        <f>'PowerHouse Data'!$AI$8</f>
        <v>5664.3</v>
      </c>
      <c r="L34" s="13">
        <f>Table113456[[#This Row],[DG Parboiling 
Run Hr Meter]]-M33</f>
        <v>0</v>
      </c>
      <c r="M34" s="31">
        <f>'PowerHouse Data'!$AI$9</f>
        <v>12532.3</v>
      </c>
      <c r="N34" s="13">
        <v>5824</v>
      </c>
      <c r="O34" s="19">
        <f>Table113456[[#This Row],[DG Parboiling 
Run Hr Meter2]]-Table113456[[#This Row],[DG Milling Run Hr Meter]]</f>
        <v>159.69999999999982</v>
      </c>
      <c r="P34" s="13">
        <v>12643.5</v>
      </c>
      <c r="Q34" s="13">
        <f>Table113456[[#This Row],[DG Parboiling 
Run Hr Meter4]]-Table113456[[#This Row],[DG Parboiling 
Run Hr Meter]]</f>
        <v>111.20000000000073</v>
      </c>
      <c r="R34" s="31">
        <f>'PowerHouse Data'!$AI$13</f>
        <v>0</v>
      </c>
      <c r="S34" s="13">
        <f>Table113456[[#This Row],[DIESEL ISSUE]]-Table113456[[#This Row],[Main Tank
Consumption (Liters)]]</f>
        <v>0</v>
      </c>
      <c r="T34" s="30">
        <v>62</v>
      </c>
      <c r="U34" s="30">
        <v>263.5</v>
      </c>
      <c r="V34" s="38">
        <f>'PowerHouse Data'!$AI$14</f>
        <v>5084</v>
      </c>
      <c r="AA34" s="35"/>
    </row>
    <row r="35" spans="1:27" x14ac:dyDescent="0.35">
      <c r="A35" s="17">
        <v>46235</v>
      </c>
      <c r="B35" s="41"/>
      <c r="C35" s="13">
        <f>D34</f>
        <v>2150</v>
      </c>
      <c r="D35" s="31">
        <f>'PowerHouse Data'!$AJ$2</f>
        <v>0</v>
      </c>
      <c r="E35" s="13">
        <f t="shared" si="0"/>
        <v>38899</v>
      </c>
      <c r="F35" s="13">
        <f>'PowerHouse Data'!$AJ$12</f>
        <v>0</v>
      </c>
      <c r="G35" s="7">
        <f>Table113456[[#This Row],[Main Tank
Opening Stock (Liters)]]-Table113456[[#This Row],[Main Tank
Closing Stock (Liters)]]+Table113456[[#This Row],[Received (Liters)]]</f>
        <v>38899</v>
      </c>
      <c r="H35" s="31">
        <f>VLOOKUP(D35,$T$2:$U$682,2,FALSE)</f>
        <v>0</v>
      </c>
      <c r="I35" s="31">
        <f>Table113456[[#This Row],[Main Tank
Closing Stock (Liters)]]+V35</f>
        <v>0</v>
      </c>
      <c r="J35" s="13">
        <f>Table113456[[#This Row],[DG Milling Run Hr Meter]]-K34</f>
        <v>-5664.3</v>
      </c>
      <c r="K35" s="31">
        <f>'PowerHouse Data'!$AJ$8</f>
        <v>0</v>
      </c>
      <c r="L35" s="13">
        <f>Table113456[[#This Row],[DG Parboiling 
Run Hr Meter]]-M34</f>
        <v>-12532.3</v>
      </c>
      <c r="M35" s="31">
        <f>'PowerHouse Data'!$AJ$9</f>
        <v>0</v>
      </c>
      <c r="N35" s="13">
        <v>5824</v>
      </c>
      <c r="O35" s="42">
        <f>Table113456[[#This Row],[DG Parboiling 
Run Hr Meter2]]-Table113456[[#This Row],[DG Milling Run Hr Meter]]</f>
        <v>5824</v>
      </c>
      <c r="P35" s="13">
        <v>12643.5</v>
      </c>
      <c r="Q35" s="31">
        <f>Table113456[[#This Row],[DG Parboiling 
Run Hr Meter4]]-Table113456[[#This Row],[DG Parboiling 
Run Hr Meter]]</f>
        <v>12643.5</v>
      </c>
      <c r="R35" s="31">
        <f>'PowerHouse Data'!$AJ$13</f>
        <v>0</v>
      </c>
      <c r="S35" s="31">
        <f>Table113456[[#This Row],[Main Tank
Consumption (Liters)]]-Table113456[[#This Row],[DIESEL ISSUE]]</f>
        <v>38899</v>
      </c>
      <c r="T35" s="30"/>
      <c r="U35" s="30"/>
      <c r="V35" s="39">
        <f>'PowerHouse Data'!$AJ$14</f>
        <v>0</v>
      </c>
    </row>
    <row r="36" spans="1:27" x14ac:dyDescent="0.35">
      <c r="A36" t="s">
        <v>26</v>
      </c>
      <c r="B36" t="s">
        <v>27</v>
      </c>
      <c r="C36">
        <f>SUM(Table113456[Received (Liters)])</f>
        <v>52476</v>
      </c>
      <c r="E36" s="21"/>
      <c r="F36" s="21"/>
      <c r="G36" s="21"/>
      <c r="H36" s="21"/>
      <c r="I36" s="21"/>
      <c r="T36" s="30">
        <v>64</v>
      </c>
      <c r="U36" s="30">
        <v>276</v>
      </c>
      <c r="V36" s="21"/>
    </row>
    <row r="37" spans="1:27" x14ac:dyDescent="0.35">
      <c r="B37" t="s">
        <v>28</v>
      </c>
      <c r="C37">
        <f>SUM(Table113456[Main Tank
Consumption (Liters)])</f>
        <v>50042</v>
      </c>
      <c r="E37" s="21"/>
      <c r="F37" s="21"/>
      <c r="G37" s="43">
        <f>SUM(G4:G34)</f>
        <v>10038</v>
      </c>
      <c r="H37" s="21"/>
      <c r="I37" s="43"/>
      <c r="J37" s="43">
        <f>SUM(J4:J34)</f>
        <v>28</v>
      </c>
      <c r="L37" s="43">
        <f>SUM(L4:L34)</f>
        <v>39</v>
      </c>
      <c r="R37" s="43">
        <f>SUM(R4:R34)</f>
        <v>1777</v>
      </c>
      <c r="S37" s="43">
        <f>SUM(S4:S34)</f>
        <v>9813</v>
      </c>
      <c r="T37" s="30">
        <v>66</v>
      </c>
      <c r="U37" s="30">
        <v>289</v>
      </c>
      <c r="V37" s="21"/>
    </row>
    <row r="38" spans="1:27" x14ac:dyDescent="0.35">
      <c r="E38" s="21"/>
      <c r="F38" s="21"/>
      <c r="G38" s="21"/>
      <c r="H38" s="21"/>
      <c r="I38" s="21"/>
      <c r="R38" s="35"/>
      <c r="T38" s="30">
        <v>68</v>
      </c>
      <c r="U38" s="30">
        <v>302</v>
      </c>
      <c r="V38" s="21"/>
    </row>
    <row r="39" spans="1:27" x14ac:dyDescent="0.35">
      <c r="C39" s="45" t="s">
        <v>50</v>
      </c>
      <c r="D39" s="46"/>
      <c r="E39" s="46"/>
      <c r="F39" s="46"/>
      <c r="G39" s="35"/>
      <c r="R39" s="35">
        <f>S37+R37</f>
        <v>11590</v>
      </c>
      <c r="T39" s="30">
        <v>70</v>
      </c>
      <c r="U39" s="30">
        <v>315.5</v>
      </c>
      <c r="V39" s="21"/>
    </row>
    <row r="40" spans="1:27" x14ac:dyDescent="0.35">
      <c r="C40" s="46"/>
      <c r="D40" s="46"/>
      <c r="E40" s="46"/>
      <c r="F40" s="46"/>
      <c r="T40" s="30">
        <v>72</v>
      </c>
      <c r="U40" s="30">
        <v>329</v>
      </c>
    </row>
    <row r="41" spans="1:27" x14ac:dyDescent="0.35">
      <c r="C41" s="46"/>
      <c r="D41" s="46"/>
      <c r="E41" s="46"/>
      <c r="F41" s="46"/>
      <c r="T41" s="30">
        <v>74</v>
      </c>
      <c r="U41" s="30">
        <v>343</v>
      </c>
    </row>
    <row r="42" spans="1:27" x14ac:dyDescent="0.35">
      <c r="C42" s="46"/>
      <c r="D42" s="46"/>
      <c r="E42" s="46"/>
      <c r="F42" s="46"/>
      <c r="T42" s="30">
        <v>76</v>
      </c>
      <c r="U42" s="30">
        <v>357</v>
      </c>
    </row>
    <row r="43" spans="1:27" x14ac:dyDescent="0.35">
      <c r="C43" s="46"/>
      <c r="D43" s="46"/>
      <c r="E43" s="46"/>
      <c r="F43" s="46"/>
      <c r="T43" s="30">
        <v>78</v>
      </c>
      <c r="U43" s="30">
        <v>371</v>
      </c>
    </row>
    <row r="44" spans="1:27" x14ac:dyDescent="0.35">
      <c r="C44" s="46"/>
      <c r="D44" s="46"/>
      <c r="E44" s="46"/>
      <c r="F44" s="46"/>
      <c r="T44" s="30">
        <v>80</v>
      </c>
      <c r="U44" s="30">
        <v>385</v>
      </c>
    </row>
    <row r="45" spans="1:27" x14ac:dyDescent="0.35">
      <c r="E45" s="21"/>
      <c r="F45" s="21"/>
      <c r="G45" s="21"/>
      <c r="H45" s="21"/>
      <c r="T45" s="30">
        <v>82</v>
      </c>
      <c r="U45" s="30">
        <v>400</v>
      </c>
    </row>
    <row r="46" spans="1:27" x14ac:dyDescent="0.35">
      <c r="E46" s="21"/>
      <c r="F46" s="21"/>
      <c r="G46" s="21"/>
      <c r="H46" s="21"/>
      <c r="T46" s="30">
        <v>84</v>
      </c>
      <c r="U46" s="30">
        <v>415</v>
      </c>
    </row>
    <row r="47" spans="1:27" x14ac:dyDescent="0.35">
      <c r="T47" s="30">
        <v>86</v>
      </c>
      <c r="U47" s="30">
        <v>429.5</v>
      </c>
    </row>
    <row r="48" spans="1:27" x14ac:dyDescent="0.35">
      <c r="T48" s="30">
        <v>88</v>
      </c>
      <c r="U48" s="30">
        <v>444</v>
      </c>
    </row>
    <row r="49" spans="20:21" x14ac:dyDescent="0.35">
      <c r="T49" s="30">
        <v>90</v>
      </c>
      <c r="U49" s="30">
        <v>459.5</v>
      </c>
    </row>
    <row r="50" spans="20:21" x14ac:dyDescent="0.35">
      <c r="T50" s="30">
        <v>92</v>
      </c>
      <c r="U50" s="30">
        <v>475</v>
      </c>
    </row>
    <row r="51" spans="20:21" x14ac:dyDescent="0.35">
      <c r="T51" s="30">
        <v>94</v>
      </c>
      <c r="U51" s="30">
        <v>490.5</v>
      </c>
    </row>
    <row r="52" spans="20:21" x14ac:dyDescent="0.35">
      <c r="T52" s="30">
        <v>96</v>
      </c>
      <c r="U52" s="30">
        <v>506</v>
      </c>
    </row>
    <row r="53" spans="20:21" x14ac:dyDescent="0.35">
      <c r="T53" s="30">
        <v>98</v>
      </c>
      <c r="U53" s="30">
        <v>522</v>
      </c>
    </row>
    <row r="54" spans="20:21" x14ac:dyDescent="0.35">
      <c r="T54" s="30">
        <v>100</v>
      </c>
      <c r="U54" s="30">
        <v>538</v>
      </c>
    </row>
    <row r="55" spans="20:21" x14ac:dyDescent="0.35">
      <c r="T55" s="30">
        <v>102</v>
      </c>
      <c r="U55" s="30">
        <v>554</v>
      </c>
    </row>
    <row r="56" spans="20:21" x14ac:dyDescent="0.35">
      <c r="T56" s="30">
        <v>104</v>
      </c>
      <c r="U56" s="30">
        <v>570</v>
      </c>
    </row>
    <row r="57" spans="20:21" x14ac:dyDescent="0.35">
      <c r="T57" s="30">
        <v>106</v>
      </c>
      <c r="U57" s="30">
        <v>586</v>
      </c>
    </row>
    <row r="58" spans="20:21" x14ac:dyDescent="0.35">
      <c r="T58" s="30">
        <v>108</v>
      </c>
      <c r="U58" s="30">
        <v>602</v>
      </c>
    </row>
    <row r="59" spans="20:21" x14ac:dyDescent="0.35">
      <c r="T59" s="30">
        <v>110</v>
      </c>
      <c r="U59" s="30">
        <v>619.5</v>
      </c>
    </row>
    <row r="60" spans="20:21" x14ac:dyDescent="0.35">
      <c r="T60" s="30">
        <v>112</v>
      </c>
      <c r="U60" s="30">
        <v>637</v>
      </c>
    </row>
    <row r="61" spans="20:21" x14ac:dyDescent="0.35">
      <c r="T61" s="30">
        <v>114</v>
      </c>
      <c r="U61" s="30">
        <v>654</v>
      </c>
    </row>
    <row r="62" spans="20:21" x14ac:dyDescent="0.35">
      <c r="T62" s="30">
        <v>116</v>
      </c>
      <c r="U62" s="30">
        <v>671</v>
      </c>
    </row>
    <row r="63" spans="20:21" x14ac:dyDescent="0.35">
      <c r="T63" s="30">
        <v>118</v>
      </c>
      <c r="U63" s="30">
        <v>688.5</v>
      </c>
    </row>
    <row r="64" spans="20:21" x14ac:dyDescent="0.35">
      <c r="T64" s="30">
        <v>120</v>
      </c>
      <c r="U64" s="30">
        <v>706</v>
      </c>
    </row>
    <row r="65" spans="20:21" x14ac:dyDescent="0.35">
      <c r="T65" s="30">
        <v>122</v>
      </c>
      <c r="U65" s="30">
        <v>723.5</v>
      </c>
    </row>
    <row r="66" spans="20:21" x14ac:dyDescent="0.35">
      <c r="T66" s="30">
        <v>124</v>
      </c>
      <c r="U66" s="30">
        <v>741</v>
      </c>
    </row>
    <row r="67" spans="20:21" x14ac:dyDescent="0.35">
      <c r="T67" s="30">
        <v>126</v>
      </c>
      <c r="U67" s="30">
        <v>759</v>
      </c>
    </row>
    <row r="68" spans="20:21" x14ac:dyDescent="0.35">
      <c r="T68" s="30">
        <v>128</v>
      </c>
      <c r="U68" s="30">
        <v>777</v>
      </c>
    </row>
    <row r="69" spans="20:21" x14ac:dyDescent="0.35">
      <c r="T69" s="30">
        <v>130</v>
      </c>
      <c r="U69" s="30">
        <v>795</v>
      </c>
    </row>
    <row r="70" spans="20:21" x14ac:dyDescent="0.35">
      <c r="T70" s="30">
        <v>132</v>
      </c>
      <c r="U70" s="30">
        <v>813</v>
      </c>
    </row>
    <row r="71" spans="20:21" x14ac:dyDescent="0.35">
      <c r="T71" s="30">
        <v>134</v>
      </c>
      <c r="U71" s="30">
        <v>831.5</v>
      </c>
    </row>
    <row r="72" spans="20:21" x14ac:dyDescent="0.35">
      <c r="T72" s="30">
        <v>136</v>
      </c>
      <c r="U72" s="30">
        <v>850</v>
      </c>
    </row>
    <row r="73" spans="20:21" x14ac:dyDescent="0.35">
      <c r="T73" s="30">
        <v>138</v>
      </c>
      <c r="U73" s="30">
        <v>869</v>
      </c>
    </row>
    <row r="74" spans="20:21" x14ac:dyDescent="0.35">
      <c r="T74" s="30">
        <v>140</v>
      </c>
      <c r="U74" s="30">
        <v>888</v>
      </c>
    </row>
    <row r="75" spans="20:21" x14ac:dyDescent="0.35">
      <c r="T75" s="30">
        <v>142</v>
      </c>
      <c r="U75" s="30">
        <v>907</v>
      </c>
    </row>
    <row r="76" spans="20:21" x14ac:dyDescent="0.35">
      <c r="T76" s="30">
        <v>144</v>
      </c>
      <c r="U76" s="30">
        <v>926</v>
      </c>
    </row>
    <row r="77" spans="20:21" x14ac:dyDescent="0.35">
      <c r="T77" s="30">
        <v>146</v>
      </c>
      <c r="U77" s="30">
        <v>945</v>
      </c>
    </row>
    <row r="78" spans="20:21" x14ac:dyDescent="0.35">
      <c r="T78" s="30">
        <v>148</v>
      </c>
      <c r="U78" s="30">
        <v>964</v>
      </c>
    </row>
    <row r="79" spans="20:21" x14ac:dyDescent="0.35">
      <c r="T79" s="30">
        <v>150</v>
      </c>
      <c r="U79" s="30">
        <v>983.5</v>
      </c>
    </row>
    <row r="80" spans="20:21" x14ac:dyDescent="0.35">
      <c r="T80" s="30">
        <v>152</v>
      </c>
      <c r="U80" s="30">
        <v>1003</v>
      </c>
    </row>
    <row r="81" spans="20:21" x14ac:dyDescent="0.35">
      <c r="T81" s="30">
        <v>154</v>
      </c>
      <c r="U81" s="30">
        <v>1023</v>
      </c>
    </row>
    <row r="82" spans="20:21" x14ac:dyDescent="0.35">
      <c r="T82" s="30">
        <v>156</v>
      </c>
      <c r="U82" s="30">
        <v>1043</v>
      </c>
    </row>
    <row r="83" spans="20:21" x14ac:dyDescent="0.35">
      <c r="T83" s="30">
        <v>158</v>
      </c>
      <c r="U83" s="30">
        <v>1063</v>
      </c>
    </row>
    <row r="84" spans="20:21" x14ac:dyDescent="0.35">
      <c r="T84" s="30">
        <v>160</v>
      </c>
      <c r="U84" s="30">
        <v>1083</v>
      </c>
    </row>
    <row r="85" spans="20:21" x14ac:dyDescent="0.35">
      <c r="T85" s="30">
        <v>162</v>
      </c>
      <c r="U85" s="30">
        <v>1103</v>
      </c>
    </row>
    <row r="86" spans="20:21" x14ac:dyDescent="0.35">
      <c r="T86" s="30">
        <v>164</v>
      </c>
      <c r="U86" s="30">
        <v>1123</v>
      </c>
    </row>
    <row r="87" spans="20:21" x14ac:dyDescent="0.35">
      <c r="T87" s="30">
        <v>166</v>
      </c>
      <c r="U87" s="30">
        <v>1143.5</v>
      </c>
    </row>
    <row r="88" spans="20:21" x14ac:dyDescent="0.35">
      <c r="T88" s="30">
        <v>168</v>
      </c>
      <c r="U88" s="30">
        <v>1164</v>
      </c>
    </row>
    <row r="89" spans="20:21" x14ac:dyDescent="0.35">
      <c r="T89" s="30">
        <v>170</v>
      </c>
      <c r="U89" s="30">
        <v>1184.5</v>
      </c>
    </row>
    <row r="90" spans="20:21" x14ac:dyDescent="0.35">
      <c r="T90" s="30">
        <v>172</v>
      </c>
      <c r="U90" s="30">
        <v>1205</v>
      </c>
    </row>
    <row r="91" spans="20:21" x14ac:dyDescent="0.35">
      <c r="T91" s="30">
        <v>174</v>
      </c>
      <c r="U91" s="30">
        <v>1226</v>
      </c>
    </row>
    <row r="92" spans="20:21" x14ac:dyDescent="0.35">
      <c r="T92" s="30">
        <v>176</v>
      </c>
      <c r="U92" s="30">
        <v>1247</v>
      </c>
    </row>
    <row r="93" spans="20:21" x14ac:dyDescent="0.35">
      <c r="T93" s="30">
        <v>178</v>
      </c>
      <c r="U93" s="30">
        <v>1268</v>
      </c>
    </row>
    <row r="94" spans="20:21" x14ac:dyDescent="0.35">
      <c r="T94" s="30">
        <v>180</v>
      </c>
      <c r="U94" s="30">
        <v>1289</v>
      </c>
    </row>
    <row r="95" spans="20:21" x14ac:dyDescent="0.35">
      <c r="T95" s="30">
        <v>182</v>
      </c>
      <c r="U95" s="30">
        <v>1310.5</v>
      </c>
    </row>
    <row r="96" spans="20:21" x14ac:dyDescent="0.35">
      <c r="T96" s="30">
        <v>184</v>
      </c>
      <c r="U96" s="30">
        <v>1332</v>
      </c>
    </row>
    <row r="97" spans="20:21" x14ac:dyDescent="0.35">
      <c r="T97" s="30">
        <v>186</v>
      </c>
      <c r="U97" s="30">
        <v>1353.5</v>
      </c>
    </row>
    <row r="98" spans="20:21" x14ac:dyDescent="0.35">
      <c r="T98" s="30">
        <v>188</v>
      </c>
      <c r="U98" s="30">
        <v>1375</v>
      </c>
    </row>
    <row r="99" spans="20:21" x14ac:dyDescent="0.35">
      <c r="T99" s="30">
        <v>190</v>
      </c>
      <c r="U99" s="30">
        <v>1397</v>
      </c>
    </row>
    <row r="100" spans="20:21" x14ac:dyDescent="0.35">
      <c r="T100" s="30">
        <v>192</v>
      </c>
      <c r="U100" s="30">
        <v>1419</v>
      </c>
    </row>
    <row r="101" spans="20:21" x14ac:dyDescent="0.35">
      <c r="T101" s="30">
        <v>194</v>
      </c>
      <c r="U101" s="30">
        <v>1441</v>
      </c>
    </row>
    <row r="102" spans="20:21" x14ac:dyDescent="0.35">
      <c r="T102" s="30">
        <v>196</v>
      </c>
      <c r="U102" s="30">
        <v>1463</v>
      </c>
    </row>
    <row r="103" spans="20:21" x14ac:dyDescent="0.35">
      <c r="T103" s="30">
        <v>198</v>
      </c>
      <c r="U103" s="30">
        <v>1485</v>
      </c>
    </row>
    <row r="104" spans="20:21" x14ac:dyDescent="0.35">
      <c r="T104" s="30">
        <v>200</v>
      </c>
      <c r="U104" s="30">
        <v>1507</v>
      </c>
    </row>
    <row r="105" spans="20:21" x14ac:dyDescent="0.35">
      <c r="T105" s="30">
        <v>202</v>
      </c>
      <c r="U105" s="30">
        <v>1529.5</v>
      </c>
    </row>
    <row r="106" spans="20:21" x14ac:dyDescent="0.35">
      <c r="T106" s="30">
        <v>204</v>
      </c>
      <c r="U106" s="30">
        <v>1552</v>
      </c>
    </row>
    <row r="107" spans="20:21" x14ac:dyDescent="0.35">
      <c r="T107" s="30">
        <v>206</v>
      </c>
      <c r="U107" s="30">
        <v>1574.5</v>
      </c>
    </row>
    <row r="108" spans="20:21" x14ac:dyDescent="0.35">
      <c r="T108" s="30">
        <v>208</v>
      </c>
      <c r="U108" s="30">
        <v>1597</v>
      </c>
    </row>
    <row r="109" spans="20:21" x14ac:dyDescent="0.35">
      <c r="T109" s="30">
        <v>210</v>
      </c>
      <c r="U109" s="30">
        <v>1620</v>
      </c>
    </row>
    <row r="110" spans="20:21" x14ac:dyDescent="0.35">
      <c r="T110" s="30">
        <v>212</v>
      </c>
      <c r="U110" s="30">
        <v>1643</v>
      </c>
    </row>
    <row r="111" spans="20:21" x14ac:dyDescent="0.35">
      <c r="T111" s="30">
        <v>214</v>
      </c>
      <c r="U111" s="30">
        <v>1666</v>
      </c>
    </row>
    <row r="112" spans="20:21" x14ac:dyDescent="0.35">
      <c r="T112" s="30">
        <v>216</v>
      </c>
      <c r="U112" s="30">
        <v>1689</v>
      </c>
    </row>
    <row r="113" spans="20:21" x14ac:dyDescent="0.35">
      <c r="T113" s="30">
        <v>218</v>
      </c>
      <c r="U113" s="30">
        <v>1712</v>
      </c>
    </row>
    <row r="114" spans="20:21" x14ac:dyDescent="0.35">
      <c r="T114" s="30">
        <v>220</v>
      </c>
      <c r="U114" s="30">
        <v>1735</v>
      </c>
    </row>
    <row r="115" spans="20:21" x14ac:dyDescent="0.35">
      <c r="T115" s="30">
        <v>222</v>
      </c>
      <c r="U115" s="30">
        <v>1758.5</v>
      </c>
    </row>
    <row r="116" spans="20:21" x14ac:dyDescent="0.35">
      <c r="T116" s="30">
        <v>224</v>
      </c>
      <c r="U116" s="30">
        <v>1782</v>
      </c>
    </row>
    <row r="117" spans="20:21" x14ac:dyDescent="0.35">
      <c r="T117" s="30">
        <v>226</v>
      </c>
      <c r="U117" s="30">
        <v>1805.5</v>
      </c>
    </row>
    <row r="118" spans="20:21" x14ac:dyDescent="0.35">
      <c r="T118" s="30">
        <v>228</v>
      </c>
      <c r="U118" s="30">
        <v>1829</v>
      </c>
    </row>
    <row r="119" spans="20:21" x14ac:dyDescent="0.35">
      <c r="T119" s="30">
        <v>230</v>
      </c>
      <c r="U119" s="30">
        <v>1853</v>
      </c>
    </row>
    <row r="120" spans="20:21" x14ac:dyDescent="0.35">
      <c r="T120" s="30">
        <v>232</v>
      </c>
      <c r="U120" s="30">
        <v>1877</v>
      </c>
    </row>
    <row r="121" spans="20:21" x14ac:dyDescent="0.35">
      <c r="T121" s="30">
        <v>234</v>
      </c>
      <c r="U121" s="30">
        <v>1900.5</v>
      </c>
    </row>
    <row r="122" spans="20:21" x14ac:dyDescent="0.35">
      <c r="T122" s="30">
        <v>236</v>
      </c>
      <c r="U122" s="30">
        <v>1924</v>
      </c>
    </row>
    <row r="123" spans="20:21" x14ac:dyDescent="0.35">
      <c r="T123" s="30">
        <v>238</v>
      </c>
      <c r="U123" s="30">
        <v>1948.5</v>
      </c>
    </row>
    <row r="124" spans="20:21" x14ac:dyDescent="0.35">
      <c r="T124" s="30">
        <v>240</v>
      </c>
      <c r="U124" s="30">
        <v>1973</v>
      </c>
    </row>
    <row r="125" spans="20:21" x14ac:dyDescent="0.35">
      <c r="T125" s="30">
        <v>242</v>
      </c>
      <c r="U125" s="30">
        <v>1997</v>
      </c>
    </row>
    <row r="126" spans="20:21" x14ac:dyDescent="0.35">
      <c r="T126" s="30">
        <v>244</v>
      </c>
      <c r="U126" s="30">
        <v>2021</v>
      </c>
    </row>
    <row r="127" spans="20:21" x14ac:dyDescent="0.35">
      <c r="T127" s="30">
        <v>246</v>
      </c>
      <c r="U127" s="30">
        <v>2045.5</v>
      </c>
    </row>
    <row r="128" spans="20:21" x14ac:dyDescent="0.35">
      <c r="T128" s="30">
        <v>248</v>
      </c>
      <c r="U128" s="30">
        <v>2070</v>
      </c>
    </row>
    <row r="129" spans="20:21" x14ac:dyDescent="0.35">
      <c r="T129" s="30">
        <v>250</v>
      </c>
      <c r="U129" s="30">
        <v>2095</v>
      </c>
    </row>
    <row r="130" spans="20:21" x14ac:dyDescent="0.35">
      <c r="T130" s="30">
        <v>252</v>
      </c>
      <c r="U130" s="30">
        <v>2120</v>
      </c>
    </row>
    <row r="131" spans="20:21" x14ac:dyDescent="0.35">
      <c r="T131" s="30">
        <v>254</v>
      </c>
      <c r="U131" s="30">
        <v>2145</v>
      </c>
    </row>
    <row r="132" spans="20:21" x14ac:dyDescent="0.35">
      <c r="T132" s="30">
        <v>256</v>
      </c>
      <c r="U132" s="30">
        <v>2170</v>
      </c>
    </row>
    <row r="133" spans="20:21" x14ac:dyDescent="0.35">
      <c r="T133" s="30">
        <v>258</v>
      </c>
      <c r="U133" s="30">
        <v>2195</v>
      </c>
    </row>
    <row r="134" spans="20:21" x14ac:dyDescent="0.35">
      <c r="T134" s="30">
        <v>260</v>
      </c>
      <c r="U134" s="30">
        <v>2220</v>
      </c>
    </row>
    <row r="135" spans="20:21" x14ac:dyDescent="0.35">
      <c r="T135" s="30">
        <v>262</v>
      </c>
      <c r="U135" s="30">
        <v>2245</v>
      </c>
    </row>
    <row r="136" spans="20:21" x14ac:dyDescent="0.35">
      <c r="T136" s="30">
        <v>264</v>
      </c>
      <c r="U136" s="30">
        <v>2270</v>
      </c>
    </row>
    <row r="137" spans="20:21" x14ac:dyDescent="0.35">
      <c r="T137" s="30">
        <v>266</v>
      </c>
      <c r="U137" s="30">
        <v>2295.5</v>
      </c>
    </row>
    <row r="138" spans="20:21" x14ac:dyDescent="0.35">
      <c r="T138" s="30">
        <v>268</v>
      </c>
      <c r="U138" s="30">
        <v>2321</v>
      </c>
    </row>
    <row r="139" spans="20:21" x14ac:dyDescent="0.35">
      <c r="T139" s="30">
        <v>270</v>
      </c>
      <c r="U139" s="30">
        <v>2346.5</v>
      </c>
    </row>
    <row r="140" spans="20:21" x14ac:dyDescent="0.35">
      <c r="T140" s="30">
        <v>272</v>
      </c>
      <c r="U140" s="30">
        <v>2372</v>
      </c>
    </row>
    <row r="141" spans="20:21" x14ac:dyDescent="0.35">
      <c r="T141" s="30">
        <v>274</v>
      </c>
      <c r="U141" s="30">
        <v>2398</v>
      </c>
    </row>
    <row r="142" spans="20:21" x14ac:dyDescent="0.35">
      <c r="T142" s="30">
        <v>276</v>
      </c>
      <c r="U142" s="30">
        <v>2424</v>
      </c>
    </row>
    <row r="143" spans="20:21" x14ac:dyDescent="0.35">
      <c r="T143" s="30">
        <v>278</v>
      </c>
      <c r="U143" s="30">
        <v>2449.5</v>
      </c>
    </row>
    <row r="144" spans="20:21" x14ac:dyDescent="0.35">
      <c r="T144" s="30">
        <v>280</v>
      </c>
      <c r="U144" s="30">
        <v>2475</v>
      </c>
    </row>
    <row r="145" spans="20:21" x14ac:dyDescent="0.35">
      <c r="T145" s="30">
        <v>282</v>
      </c>
      <c r="U145" s="30">
        <v>2501.5</v>
      </c>
    </row>
    <row r="146" spans="20:21" x14ac:dyDescent="0.35">
      <c r="T146" s="30">
        <v>284</v>
      </c>
      <c r="U146" s="30">
        <v>2528</v>
      </c>
    </row>
    <row r="147" spans="20:21" x14ac:dyDescent="0.35">
      <c r="T147" s="30">
        <v>286</v>
      </c>
      <c r="U147" s="30">
        <v>2554</v>
      </c>
    </row>
    <row r="148" spans="20:21" x14ac:dyDescent="0.35">
      <c r="T148" s="30">
        <v>288</v>
      </c>
      <c r="U148" s="30">
        <v>2580</v>
      </c>
    </row>
    <row r="149" spans="20:21" x14ac:dyDescent="0.35">
      <c r="T149" s="30">
        <v>290</v>
      </c>
      <c r="U149" s="30">
        <v>2606.5</v>
      </c>
    </row>
    <row r="150" spans="20:21" x14ac:dyDescent="0.35">
      <c r="T150" s="30">
        <v>292</v>
      </c>
      <c r="U150" s="30">
        <v>2633</v>
      </c>
    </row>
    <row r="151" spans="20:21" x14ac:dyDescent="0.35">
      <c r="T151" s="30">
        <v>294</v>
      </c>
      <c r="U151" s="30">
        <v>2659.5</v>
      </c>
    </row>
    <row r="152" spans="20:21" x14ac:dyDescent="0.35">
      <c r="T152" s="30">
        <v>296</v>
      </c>
      <c r="U152" s="30">
        <v>2686</v>
      </c>
    </row>
    <row r="153" spans="20:21" x14ac:dyDescent="0.35">
      <c r="T153" s="30">
        <v>298</v>
      </c>
      <c r="U153" s="30">
        <v>2712.5</v>
      </c>
    </row>
    <row r="154" spans="20:21" x14ac:dyDescent="0.35">
      <c r="T154" s="30">
        <v>300</v>
      </c>
      <c r="U154" s="30">
        <v>2739</v>
      </c>
    </row>
    <row r="155" spans="20:21" x14ac:dyDescent="0.35">
      <c r="T155" s="30">
        <v>302</v>
      </c>
      <c r="U155" s="30">
        <v>2766</v>
      </c>
    </row>
    <row r="156" spans="20:21" x14ac:dyDescent="0.35">
      <c r="T156" s="30">
        <v>304</v>
      </c>
      <c r="U156" s="30">
        <v>2793</v>
      </c>
    </row>
    <row r="157" spans="20:21" x14ac:dyDescent="0.35">
      <c r="T157" s="30">
        <v>306</v>
      </c>
      <c r="U157" s="30">
        <v>2820</v>
      </c>
    </row>
    <row r="158" spans="20:21" x14ac:dyDescent="0.35">
      <c r="T158" s="30">
        <v>308</v>
      </c>
      <c r="U158" s="30">
        <v>2847</v>
      </c>
    </row>
    <row r="159" spans="20:21" x14ac:dyDescent="0.35">
      <c r="T159" s="30">
        <v>310</v>
      </c>
      <c r="U159" s="30">
        <v>2874</v>
      </c>
    </row>
    <row r="160" spans="20:21" x14ac:dyDescent="0.35">
      <c r="T160" s="30">
        <v>312</v>
      </c>
      <c r="U160" s="30">
        <v>2901</v>
      </c>
    </row>
    <row r="161" spans="20:21" x14ac:dyDescent="0.35">
      <c r="T161" s="30">
        <v>314</v>
      </c>
      <c r="U161" s="30">
        <v>2928.5</v>
      </c>
    </row>
    <row r="162" spans="20:21" x14ac:dyDescent="0.35">
      <c r="T162" s="30">
        <v>316</v>
      </c>
      <c r="U162" s="30">
        <v>2956</v>
      </c>
    </row>
    <row r="163" spans="20:21" x14ac:dyDescent="0.35">
      <c r="T163" s="30">
        <v>318</v>
      </c>
      <c r="U163" s="30">
        <v>2983.5</v>
      </c>
    </row>
    <row r="164" spans="20:21" x14ac:dyDescent="0.35">
      <c r="T164" s="30">
        <v>320</v>
      </c>
      <c r="U164" s="30">
        <v>3011</v>
      </c>
    </row>
    <row r="165" spans="20:21" x14ac:dyDescent="0.35">
      <c r="T165" s="30">
        <v>322</v>
      </c>
      <c r="U165" s="30">
        <v>3038.5</v>
      </c>
    </row>
    <row r="166" spans="20:21" x14ac:dyDescent="0.35">
      <c r="T166" s="30">
        <v>324</v>
      </c>
      <c r="U166" s="30">
        <v>3066</v>
      </c>
    </row>
    <row r="167" spans="20:21" x14ac:dyDescent="0.35">
      <c r="T167" s="30">
        <v>326</v>
      </c>
      <c r="U167" s="30">
        <v>3094</v>
      </c>
    </row>
    <row r="168" spans="20:21" x14ac:dyDescent="0.35">
      <c r="T168" s="30">
        <v>328</v>
      </c>
      <c r="U168" s="30">
        <v>3122</v>
      </c>
    </row>
    <row r="169" spans="20:21" x14ac:dyDescent="0.35">
      <c r="T169" s="30">
        <v>330</v>
      </c>
      <c r="U169" s="30">
        <v>3150</v>
      </c>
    </row>
    <row r="170" spans="20:21" x14ac:dyDescent="0.35">
      <c r="T170" s="30">
        <v>332</v>
      </c>
      <c r="U170" s="30">
        <v>3178</v>
      </c>
    </row>
    <row r="171" spans="20:21" x14ac:dyDescent="0.35">
      <c r="T171" s="30">
        <v>334</v>
      </c>
      <c r="U171" s="30">
        <v>3206</v>
      </c>
    </row>
    <row r="172" spans="20:21" x14ac:dyDescent="0.35">
      <c r="T172" s="30">
        <v>336</v>
      </c>
      <c r="U172" s="30">
        <v>3234</v>
      </c>
    </row>
    <row r="173" spans="20:21" x14ac:dyDescent="0.35">
      <c r="T173" s="30">
        <v>338</v>
      </c>
      <c r="U173" s="30">
        <v>3262.5</v>
      </c>
    </row>
    <row r="174" spans="20:21" x14ac:dyDescent="0.35">
      <c r="T174" s="30">
        <v>340</v>
      </c>
      <c r="U174" s="30">
        <v>3291</v>
      </c>
    </row>
    <row r="175" spans="20:21" x14ac:dyDescent="0.35">
      <c r="T175" s="30">
        <v>342</v>
      </c>
      <c r="U175" s="30">
        <v>3319</v>
      </c>
    </row>
    <row r="176" spans="20:21" x14ac:dyDescent="0.35">
      <c r="T176" s="30">
        <v>344</v>
      </c>
      <c r="U176" s="30">
        <v>3347</v>
      </c>
    </row>
    <row r="177" spans="20:21" x14ac:dyDescent="0.35">
      <c r="T177" s="30">
        <v>346</v>
      </c>
      <c r="U177" s="30">
        <v>3375.5</v>
      </c>
    </row>
    <row r="178" spans="20:21" x14ac:dyDescent="0.35">
      <c r="T178" s="30">
        <v>348</v>
      </c>
      <c r="U178" s="30">
        <v>3404</v>
      </c>
    </row>
    <row r="179" spans="20:21" x14ac:dyDescent="0.35">
      <c r="T179" s="30">
        <v>350</v>
      </c>
      <c r="U179" s="30">
        <v>3433</v>
      </c>
    </row>
    <row r="180" spans="20:21" x14ac:dyDescent="0.35">
      <c r="T180" s="30">
        <v>352</v>
      </c>
      <c r="U180" s="30">
        <v>3462</v>
      </c>
    </row>
    <row r="181" spans="20:21" x14ac:dyDescent="0.35">
      <c r="T181" s="30">
        <v>354</v>
      </c>
      <c r="U181" s="30">
        <v>3490.5</v>
      </c>
    </row>
    <row r="182" spans="20:21" x14ac:dyDescent="0.35">
      <c r="T182" s="30">
        <v>356</v>
      </c>
      <c r="U182" s="30">
        <v>3519</v>
      </c>
    </row>
    <row r="183" spans="20:21" x14ac:dyDescent="0.35">
      <c r="T183" s="30">
        <v>358</v>
      </c>
      <c r="U183" s="30">
        <v>3548</v>
      </c>
    </row>
    <row r="184" spans="20:21" x14ac:dyDescent="0.35">
      <c r="T184" s="30">
        <v>360</v>
      </c>
      <c r="U184" s="30">
        <v>3577</v>
      </c>
    </row>
    <row r="185" spans="20:21" x14ac:dyDescent="0.35">
      <c r="T185" s="30">
        <v>362</v>
      </c>
      <c r="U185" s="30">
        <v>3606</v>
      </c>
    </row>
    <row r="186" spans="20:21" x14ac:dyDescent="0.35">
      <c r="T186" s="30">
        <v>364</v>
      </c>
      <c r="U186" s="30">
        <v>3635</v>
      </c>
    </row>
    <row r="187" spans="20:21" x14ac:dyDescent="0.35">
      <c r="T187" s="30">
        <v>366</v>
      </c>
      <c r="U187" s="30">
        <v>3664.5</v>
      </c>
    </row>
    <row r="188" spans="20:21" x14ac:dyDescent="0.35">
      <c r="T188" s="30">
        <v>368</v>
      </c>
      <c r="U188" s="30">
        <v>3694</v>
      </c>
    </row>
    <row r="189" spans="20:21" x14ac:dyDescent="0.35">
      <c r="T189" s="30">
        <v>370</v>
      </c>
      <c r="U189" s="30">
        <v>3723</v>
      </c>
    </row>
    <row r="190" spans="20:21" x14ac:dyDescent="0.35">
      <c r="T190" s="30">
        <v>372</v>
      </c>
      <c r="U190" s="30">
        <v>3752</v>
      </c>
    </row>
    <row r="191" spans="20:21" x14ac:dyDescent="0.35">
      <c r="T191" s="30">
        <v>374</v>
      </c>
      <c r="U191" s="30">
        <v>3781.5</v>
      </c>
    </row>
    <row r="192" spans="20:21" x14ac:dyDescent="0.35">
      <c r="T192" s="30">
        <v>376</v>
      </c>
      <c r="U192" s="30">
        <v>3811</v>
      </c>
    </row>
    <row r="193" spans="20:21" x14ac:dyDescent="0.35">
      <c r="T193" s="30">
        <v>378</v>
      </c>
      <c r="U193" s="30">
        <v>3840.5</v>
      </c>
    </row>
    <row r="194" spans="20:21" x14ac:dyDescent="0.35">
      <c r="T194" s="30">
        <v>380</v>
      </c>
      <c r="U194" s="30">
        <v>3870</v>
      </c>
    </row>
    <row r="195" spans="20:21" x14ac:dyDescent="0.35">
      <c r="T195" s="30">
        <v>382</v>
      </c>
      <c r="U195" s="30">
        <v>3900</v>
      </c>
    </row>
    <row r="196" spans="20:21" x14ac:dyDescent="0.35">
      <c r="T196" s="30">
        <v>384</v>
      </c>
      <c r="U196" s="30">
        <v>3930</v>
      </c>
    </row>
    <row r="197" spans="20:21" x14ac:dyDescent="0.35">
      <c r="T197" s="30">
        <v>386</v>
      </c>
      <c r="U197" s="30">
        <v>3960</v>
      </c>
    </row>
    <row r="198" spans="20:21" x14ac:dyDescent="0.35">
      <c r="T198" s="30">
        <v>388</v>
      </c>
      <c r="U198" s="30">
        <v>3990</v>
      </c>
    </row>
    <row r="199" spans="20:21" x14ac:dyDescent="0.35">
      <c r="T199" s="30">
        <v>390</v>
      </c>
      <c r="U199" s="30">
        <v>4020</v>
      </c>
    </row>
    <row r="200" spans="20:21" x14ac:dyDescent="0.35">
      <c r="T200" s="30">
        <v>392</v>
      </c>
      <c r="U200" s="30">
        <v>4050</v>
      </c>
    </row>
    <row r="201" spans="20:21" x14ac:dyDescent="0.35">
      <c r="T201" s="30">
        <v>394</v>
      </c>
      <c r="U201" s="30">
        <v>4080</v>
      </c>
    </row>
    <row r="202" spans="20:21" x14ac:dyDescent="0.35">
      <c r="T202" s="30">
        <v>396</v>
      </c>
      <c r="U202" s="30">
        <v>4110</v>
      </c>
    </row>
    <row r="203" spans="20:21" x14ac:dyDescent="0.35">
      <c r="T203" s="30">
        <v>398</v>
      </c>
      <c r="U203" s="30">
        <v>4140.5</v>
      </c>
    </row>
    <row r="204" spans="20:21" x14ac:dyDescent="0.35">
      <c r="T204" s="30">
        <v>400</v>
      </c>
      <c r="U204" s="30">
        <v>4171</v>
      </c>
    </row>
    <row r="205" spans="20:21" x14ac:dyDescent="0.35">
      <c r="T205" s="30">
        <v>402</v>
      </c>
      <c r="U205" s="30">
        <v>4201</v>
      </c>
    </row>
    <row r="206" spans="20:21" x14ac:dyDescent="0.35">
      <c r="T206" s="30">
        <v>404</v>
      </c>
      <c r="U206" s="30">
        <v>4231</v>
      </c>
    </row>
    <row r="207" spans="20:21" x14ac:dyDescent="0.35">
      <c r="T207" s="30">
        <v>406</v>
      </c>
      <c r="U207" s="30">
        <v>4261.5</v>
      </c>
    </row>
    <row r="208" spans="20:21" x14ac:dyDescent="0.35">
      <c r="T208" s="30">
        <v>408</v>
      </c>
      <c r="U208" s="30">
        <v>4292</v>
      </c>
    </row>
    <row r="209" spans="20:21" x14ac:dyDescent="0.35">
      <c r="T209" s="30">
        <v>410</v>
      </c>
      <c r="U209" s="30">
        <v>4323</v>
      </c>
    </row>
    <row r="210" spans="20:21" x14ac:dyDescent="0.35">
      <c r="T210" s="30">
        <v>412</v>
      </c>
      <c r="U210" s="30">
        <v>4354</v>
      </c>
    </row>
    <row r="211" spans="20:21" x14ac:dyDescent="0.35">
      <c r="T211" s="30">
        <v>414</v>
      </c>
      <c r="U211" s="30">
        <v>4384.5</v>
      </c>
    </row>
    <row r="212" spans="20:21" x14ac:dyDescent="0.35">
      <c r="T212" s="30">
        <v>416</v>
      </c>
      <c r="U212" s="30">
        <v>4415</v>
      </c>
    </row>
    <row r="213" spans="20:21" x14ac:dyDescent="0.35">
      <c r="T213" s="30">
        <v>418</v>
      </c>
      <c r="U213" s="30">
        <v>4446</v>
      </c>
    </row>
    <row r="214" spans="20:21" x14ac:dyDescent="0.35">
      <c r="T214" s="30">
        <v>420</v>
      </c>
      <c r="U214" s="30">
        <v>4477</v>
      </c>
    </row>
    <row r="215" spans="20:21" x14ac:dyDescent="0.35">
      <c r="T215" s="30">
        <v>422</v>
      </c>
      <c r="U215" s="30">
        <v>4508</v>
      </c>
    </row>
    <row r="216" spans="20:21" x14ac:dyDescent="0.35">
      <c r="T216" s="30">
        <v>424</v>
      </c>
      <c r="U216" s="30">
        <v>4539</v>
      </c>
    </row>
    <row r="217" spans="20:21" x14ac:dyDescent="0.35">
      <c r="T217" s="30">
        <v>426</v>
      </c>
      <c r="U217" s="30">
        <v>4570</v>
      </c>
    </row>
    <row r="218" spans="20:21" x14ac:dyDescent="0.35">
      <c r="T218" s="30">
        <v>428</v>
      </c>
      <c r="U218" s="30">
        <v>4601</v>
      </c>
    </row>
    <row r="219" spans="20:21" x14ac:dyDescent="0.35">
      <c r="T219" s="30">
        <v>430</v>
      </c>
      <c r="U219" s="30">
        <v>4632.5</v>
      </c>
    </row>
    <row r="220" spans="20:21" x14ac:dyDescent="0.35">
      <c r="T220" s="30">
        <v>432</v>
      </c>
      <c r="U220" s="30">
        <v>4664</v>
      </c>
    </row>
    <row r="221" spans="20:21" x14ac:dyDescent="0.35">
      <c r="T221" s="30">
        <v>434</v>
      </c>
      <c r="U221" s="30">
        <v>4695</v>
      </c>
    </row>
    <row r="222" spans="20:21" x14ac:dyDescent="0.35">
      <c r="T222" s="30">
        <v>436</v>
      </c>
      <c r="U222" s="30">
        <v>4726</v>
      </c>
    </row>
    <row r="223" spans="20:21" x14ac:dyDescent="0.35">
      <c r="T223" s="30">
        <v>438</v>
      </c>
      <c r="U223" s="30">
        <v>4757.5</v>
      </c>
    </row>
    <row r="224" spans="20:21" x14ac:dyDescent="0.35">
      <c r="T224" s="30">
        <v>440</v>
      </c>
      <c r="U224" s="30">
        <v>4789</v>
      </c>
    </row>
    <row r="225" spans="20:21" x14ac:dyDescent="0.35">
      <c r="T225" s="30">
        <v>442</v>
      </c>
      <c r="U225" s="30">
        <v>4821</v>
      </c>
    </row>
    <row r="226" spans="20:21" x14ac:dyDescent="0.35">
      <c r="T226" s="30">
        <v>444</v>
      </c>
      <c r="U226" s="30">
        <v>4853</v>
      </c>
    </row>
    <row r="227" spans="20:21" x14ac:dyDescent="0.35">
      <c r="T227" s="30">
        <v>446</v>
      </c>
      <c r="U227" s="30">
        <v>4884.5</v>
      </c>
    </row>
    <row r="228" spans="20:21" x14ac:dyDescent="0.35">
      <c r="T228" s="30">
        <v>448</v>
      </c>
      <c r="U228" s="30">
        <v>4916</v>
      </c>
    </row>
    <row r="229" spans="20:21" x14ac:dyDescent="0.35">
      <c r="T229" s="30">
        <v>450</v>
      </c>
      <c r="U229" s="30">
        <v>4948</v>
      </c>
    </row>
    <row r="230" spans="20:21" x14ac:dyDescent="0.35">
      <c r="T230" s="30">
        <v>452</v>
      </c>
      <c r="U230" s="30">
        <v>4980</v>
      </c>
    </row>
    <row r="231" spans="20:21" x14ac:dyDescent="0.35">
      <c r="T231" s="30">
        <v>454</v>
      </c>
      <c r="U231" s="30">
        <v>5012</v>
      </c>
    </row>
    <row r="232" spans="20:21" x14ac:dyDescent="0.35">
      <c r="T232" s="30">
        <v>456</v>
      </c>
      <c r="U232" s="30">
        <v>5044</v>
      </c>
    </row>
    <row r="233" spans="20:21" x14ac:dyDescent="0.35">
      <c r="T233" s="30">
        <v>458</v>
      </c>
      <c r="U233" s="30">
        <v>5076</v>
      </c>
    </row>
    <row r="234" spans="20:21" x14ac:dyDescent="0.35">
      <c r="T234" s="30">
        <v>460</v>
      </c>
      <c r="U234" s="30">
        <v>5108</v>
      </c>
    </row>
    <row r="235" spans="20:21" x14ac:dyDescent="0.35">
      <c r="T235" s="30">
        <v>462</v>
      </c>
      <c r="U235" s="30">
        <v>5140</v>
      </c>
    </row>
    <row r="236" spans="20:21" x14ac:dyDescent="0.35">
      <c r="T236" s="30">
        <v>464</v>
      </c>
      <c r="U236" s="30">
        <v>5172</v>
      </c>
    </row>
    <row r="237" spans="20:21" x14ac:dyDescent="0.35">
      <c r="T237" s="30">
        <v>466</v>
      </c>
      <c r="U237" s="30">
        <v>5204.5</v>
      </c>
    </row>
    <row r="238" spans="20:21" x14ac:dyDescent="0.35">
      <c r="T238" s="30">
        <v>468</v>
      </c>
      <c r="U238" s="30">
        <v>5237</v>
      </c>
    </row>
    <row r="239" spans="20:21" x14ac:dyDescent="0.35">
      <c r="T239" s="30">
        <v>470</v>
      </c>
      <c r="U239" s="30">
        <v>5269</v>
      </c>
    </row>
    <row r="240" spans="20:21" x14ac:dyDescent="0.35">
      <c r="T240" s="30">
        <v>472</v>
      </c>
      <c r="U240" s="30">
        <v>5301</v>
      </c>
    </row>
    <row r="241" spans="20:21" x14ac:dyDescent="0.35">
      <c r="T241" s="30">
        <v>474</v>
      </c>
      <c r="U241" s="30">
        <v>5333.5</v>
      </c>
    </row>
    <row r="242" spans="20:21" x14ac:dyDescent="0.35">
      <c r="T242" s="30">
        <v>476</v>
      </c>
      <c r="U242" s="30">
        <v>5366</v>
      </c>
    </row>
    <row r="243" spans="20:21" x14ac:dyDescent="0.35">
      <c r="T243" s="30">
        <v>478</v>
      </c>
      <c r="U243" s="30">
        <v>5399</v>
      </c>
    </row>
    <row r="244" spans="20:21" x14ac:dyDescent="0.35">
      <c r="T244" s="30">
        <v>480</v>
      </c>
      <c r="U244" s="30">
        <v>5432</v>
      </c>
    </row>
    <row r="245" spans="20:21" x14ac:dyDescent="0.35">
      <c r="T245" s="30">
        <v>482</v>
      </c>
      <c r="U245" s="30">
        <v>5464.5</v>
      </c>
    </row>
    <row r="246" spans="20:21" x14ac:dyDescent="0.35">
      <c r="T246" s="30">
        <v>484</v>
      </c>
      <c r="U246" s="30">
        <v>5497</v>
      </c>
    </row>
    <row r="247" spans="20:21" x14ac:dyDescent="0.35">
      <c r="T247" s="30">
        <v>486</v>
      </c>
      <c r="U247" s="30">
        <v>5530</v>
      </c>
    </row>
    <row r="248" spans="20:21" x14ac:dyDescent="0.35">
      <c r="T248" s="30">
        <v>488</v>
      </c>
      <c r="U248" s="30">
        <v>5563</v>
      </c>
    </row>
    <row r="249" spans="20:21" x14ac:dyDescent="0.35">
      <c r="T249" s="30">
        <v>490</v>
      </c>
      <c r="U249" s="30">
        <v>5595.5</v>
      </c>
    </row>
    <row r="250" spans="20:21" x14ac:dyDescent="0.35">
      <c r="T250" s="30">
        <v>492</v>
      </c>
      <c r="U250" s="30">
        <v>5628</v>
      </c>
    </row>
    <row r="251" spans="20:21" x14ac:dyDescent="0.35">
      <c r="T251" s="30">
        <v>494</v>
      </c>
      <c r="U251" s="30">
        <v>5661.5</v>
      </c>
    </row>
    <row r="252" spans="20:21" x14ac:dyDescent="0.35">
      <c r="T252" s="30">
        <v>496</v>
      </c>
      <c r="U252" s="30">
        <v>5695</v>
      </c>
    </row>
    <row r="253" spans="20:21" x14ac:dyDescent="0.35">
      <c r="T253" s="30">
        <v>498</v>
      </c>
      <c r="U253" s="30">
        <v>5728</v>
      </c>
    </row>
    <row r="254" spans="20:21" x14ac:dyDescent="0.35">
      <c r="T254" s="30">
        <v>500</v>
      </c>
      <c r="U254" s="30">
        <v>5761</v>
      </c>
    </row>
    <row r="255" spans="20:21" x14ac:dyDescent="0.35">
      <c r="T255" s="30">
        <v>502</v>
      </c>
      <c r="U255" s="30">
        <v>5794</v>
      </c>
    </row>
    <row r="256" spans="20:21" x14ac:dyDescent="0.35">
      <c r="T256" s="30">
        <v>504</v>
      </c>
      <c r="U256" s="30">
        <v>5827</v>
      </c>
    </row>
    <row r="257" spans="20:21" x14ac:dyDescent="0.35">
      <c r="T257" s="30">
        <v>506</v>
      </c>
      <c r="U257" s="30">
        <v>5860.5</v>
      </c>
    </row>
    <row r="258" spans="20:21" x14ac:dyDescent="0.35">
      <c r="T258" s="30">
        <v>508</v>
      </c>
      <c r="U258" s="30">
        <v>5894</v>
      </c>
    </row>
    <row r="259" spans="20:21" x14ac:dyDescent="0.35">
      <c r="T259" s="30">
        <v>510</v>
      </c>
      <c r="U259" s="30">
        <v>5927.5</v>
      </c>
    </row>
    <row r="260" spans="20:21" x14ac:dyDescent="0.35">
      <c r="T260" s="30">
        <v>512</v>
      </c>
      <c r="U260" s="30">
        <v>5961</v>
      </c>
    </row>
    <row r="261" spans="20:21" x14ac:dyDescent="0.35">
      <c r="T261" s="30">
        <v>514</v>
      </c>
      <c r="U261" s="30">
        <v>5994.5</v>
      </c>
    </row>
    <row r="262" spans="20:21" x14ac:dyDescent="0.35">
      <c r="T262" s="30">
        <v>516</v>
      </c>
      <c r="U262" s="30">
        <v>6028</v>
      </c>
    </row>
    <row r="263" spans="20:21" x14ac:dyDescent="0.35">
      <c r="T263" s="30">
        <v>518</v>
      </c>
      <c r="U263" s="30">
        <v>6061.5</v>
      </c>
    </row>
    <row r="264" spans="20:21" x14ac:dyDescent="0.35">
      <c r="T264" s="30">
        <v>520</v>
      </c>
      <c r="U264" s="30">
        <v>6095</v>
      </c>
    </row>
    <row r="265" spans="20:21" x14ac:dyDescent="0.35">
      <c r="T265" s="30">
        <v>522</v>
      </c>
      <c r="U265" s="30">
        <v>6129</v>
      </c>
    </row>
    <row r="266" spans="20:21" x14ac:dyDescent="0.35">
      <c r="T266" s="30">
        <v>524</v>
      </c>
      <c r="U266" s="30">
        <v>6163</v>
      </c>
    </row>
    <row r="267" spans="20:21" x14ac:dyDescent="0.35">
      <c r="T267" s="30">
        <v>526</v>
      </c>
      <c r="U267" s="30">
        <v>6197</v>
      </c>
    </row>
    <row r="268" spans="20:21" x14ac:dyDescent="0.35">
      <c r="T268" s="30">
        <v>528</v>
      </c>
      <c r="U268" s="30">
        <v>6231</v>
      </c>
    </row>
    <row r="269" spans="20:21" x14ac:dyDescent="0.35">
      <c r="T269" s="30">
        <v>530</v>
      </c>
      <c r="U269" s="30">
        <v>6264.5</v>
      </c>
    </row>
    <row r="270" spans="20:21" x14ac:dyDescent="0.35">
      <c r="T270" s="30">
        <v>532</v>
      </c>
      <c r="U270" s="30">
        <v>6298</v>
      </c>
    </row>
    <row r="271" spans="20:21" x14ac:dyDescent="0.35">
      <c r="T271" s="30">
        <v>534</v>
      </c>
      <c r="U271" s="30">
        <v>6332.5</v>
      </c>
    </row>
    <row r="272" spans="20:21" x14ac:dyDescent="0.35">
      <c r="T272" s="30">
        <v>536</v>
      </c>
      <c r="U272" s="30">
        <v>6367</v>
      </c>
    </row>
    <row r="273" spans="20:21" x14ac:dyDescent="0.35">
      <c r="T273" s="30">
        <v>538</v>
      </c>
      <c r="U273" s="30">
        <v>6401</v>
      </c>
    </row>
    <row r="274" spans="20:21" x14ac:dyDescent="0.35">
      <c r="T274" s="30">
        <v>540</v>
      </c>
      <c r="U274" s="30">
        <v>6435</v>
      </c>
    </row>
    <row r="275" spans="20:21" x14ac:dyDescent="0.35">
      <c r="T275" s="30">
        <v>542</v>
      </c>
      <c r="U275" s="30">
        <v>6469</v>
      </c>
    </row>
    <row r="276" spans="20:21" x14ac:dyDescent="0.35">
      <c r="T276" s="30">
        <v>544</v>
      </c>
      <c r="U276" s="30">
        <v>6503</v>
      </c>
    </row>
    <row r="277" spans="20:21" x14ac:dyDescent="0.35">
      <c r="T277" s="30">
        <v>546</v>
      </c>
      <c r="U277" s="30">
        <v>6537.5</v>
      </c>
    </row>
    <row r="278" spans="20:21" x14ac:dyDescent="0.35">
      <c r="T278" s="30">
        <v>548</v>
      </c>
      <c r="U278" s="30">
        <v>6572</v>
      </c>
    </row>
    <row r="279" spans="20:21" x14ac:dyDescent="0.35">
      <c r="T279" s="30">
        <v>550</v>
      </c>
      <c r="U279" s="30">
        <v>6606.5</v>
      </c>
    </row>
    <row r="280" spans="20:21" x14ac:dyDescent="0.35">
      <c r="T280" s="30">
        <v>552</v>
      </c>
      <c r="U280" s="30">
        <v>6641</v>
      </c>
    </row>
    <row r="281" spans="20:21" x14ac:dyDescent="0.35">
      <c r="T281" s="30">
        <v>554</v>
      </c>
      <c r="U281" s="30">
        <v>6675.5</v>
      </c>
    </row>
    <row r="282" spans="20:21" x14ac:dyDescent="0.35">
      <c r="T282" s="30">
        <v>556</v>
      </c>
      <c r="U282" s="30">
        <v>6710</v>
      </c>
    </row>
    <row r="283" spans="20:21" x14ac:dyDescent="0.35">
      <c r="T283" s="30">
        <v>558</v>
      </c>
      <c r="U283" s="30">
        <v>6744.5</v>
      </c>
    </row>
    <row r="284" spans="20:21" x14ac:dyDescent="0.35">
      <c r="T284" s="30">
        <v>560</v>
      </c>
      <c r="U284" s="30">
        <v>6779</v>
      </c>
    </row>
    <row r="285" spans="20:21" x14ac:dyDescent="0.35">
      <c r="T285" s="30">
        <v>562</v>
      </c>
      <c r="U285" s="30">
        <v>6814</v>
      </c>
    </row>
    <row r="286" spans="20:21" x14ac:dyDescent="0.35">
      <c r="T286" s="30">
        <v>564</v>
      </c>
      <c r="U286" s="30">
        <v>6849</v>
      </c>
    </row>
    <row r="287" spans="20:21" x14ac:dyDescent="0.35">
      <c r="T287" s="30">
        <v>566</v>
      </c>
      <c r="U287" s="30">
        <v>6883.5</v>
      </c>
    </row>
    <row r="288" spans="20:21" x14ac:dyDescent="0.35">
      <c r="T288" s="30">
        <v>568</v>
      </c>
      <c r="U288" s="30">
        <v>6918</v>
      </c>
    </row>
    <row r="289" spans="20:21" x14ac:dyDescent="0.35">
      <c r="T289" s="30">
        <v>570</v>
      </c>
      <c r="U289" s="30">
        <v>6953</v>
      </c>
    </row>
    <row r="290" spans="20:21" x14ac:dyDescent="0.35">
      <c r="T290" s="30">
        <v>572</v>
      </c>
      <c r="U290" s="30">
        <v>6988</v>
      </c>
    </row>
    <row r="291" spans="20:21" x14ac:dyDescent="0.35">
      <c r="T291" s="30">
        <v>574</v>
      </c>
      <c r="U291" s="30">
        <v>7023</v>
      </c>
    </row>
    <row r="292" spans="20:21" x14ac:dyDescent="0.35">
      <c r="T292" s="30">
        <v>576</v>
      </c>
      <c r="U292" s="30">
        <v>7058</v>
      </c>
    </row>
    <row r="293" spans="20:21" x14ac:dyDescent="0.35">
      <c r="T293" s="30">
        <v>578</v>
      </c>
      <c r="U293" s="30">
        <v>7093</v>
      </c>
    </row>
    <row r="294" spans="20:21" x14ac:dyDescent="0.35">
      <c r="T294" s="30">
        <v>580</v>
      </c>
      <c r="U294" s="30">
        <v>7128</v>
      </c>
    </row>
    <row r="295" spans="20:21" x14ac:dyDescent="0.35">
      <c r="T295" s="30">
        <v>582</v>
      </c>
      <c r="U295" s="30">
        <v>7163</v>
      </c>
    </row>
    <row r="296" spans="20:21" x14ac:dyDescent="0.35">
      <c r="T296" s="30">
        <v>584</v>
      </c>
      <c r="U296" s="30">
        <v>7198</v>
      </c>
    </row>
    <row r="297" spans="20:21" x14ac:dyDescent="0.35">
      <c r="T297" s="30">
        <v>586</v>
      </c>
      <c r="U297" s="30">
        <v>7233.5</v>
      </c>
    </row>
    <row r="298" spans="20:21" x14ac:dyDescent="0.35">
      <c r="T298" s="30">
        <v>588</v>
      </c>
      <c r="U298" s="30">
        <v>7269</v>
      </c>
    </row>
    <row r="299" spans="20:21" x14ac:dyDescent="0.35">
      <c r="T299" s="30">
        <v>590</v>
      </c>
      <c r="U299" s="30">
        <v>7304.5</v>
      </c>
    </row>
    <row r="300" spans="20:21" x14ac:dyDescent="0.35">
      <c r="T300" s="30">
        <v>592</v>
      </c>
      <c r="U300" s="30">
        <v>7340</v>
      </c>
    </row>
    <row r="301" spans="20:21" x14ac:dyDescent="0.35">
      <c r="T301" s="30">
        <v>594</v>
      </c>
      <c r="U301" s="30">
        <v>7375</v>
      </c>
    </row>
    <row r="302" spans="20:21" x14ac:dyDescent="0.35">
      <c r="T302" s="30">
        <v>596</v>
      </c>
      <c r="U302" s="30">
        <v>7410</v>
      </c>
    </row>
    <row r="303" spans="20:21" x14ac:dyDescent="0.35">
      <c r="T303" s="30">
        <v>598</v>
      </c>
      <c r="U303" s="30">
        <v>7446</v>
      </c>
    </row>
    <row r="304" spans="20:21" x14ac:dyDescent="0.35">
      <c r="T304" s="30">
        <v>600</v>
      </c>
      <c r="U304" s="30">
        <v>7482</v>
      </c>
    </row>
    <row r="305" spans="20:21" x14ac:dyDescent="0.35">
      <c r="T305" s="30">
        <v>602</v>
      </c>
      <c r="U305" s="30">
        <v>7517.5</v>
      </c>
    </row>
    <row r="306" spans="20:21" x14ac:dyDescent="0.35">
      <c r="T306" s="30">
        <v>604</v>
      </c>
      <c r="U306" s="30">
        <v>7553</v>
      </c>
    </row>
    <row r="307" spans="20:21" x14ac:dyDescent="0.35">
      <c r="T307" s="30">
        <v>606</v>
      </c>
      <c r="U307" s="30">
        <v>7588.5</v>
      </c>
    </row>
    <row r="308" spans="20:21" x14ac:dyDescent="0.35">
      <c r="T308" s="30">
        <v>608</v>
      </c>
      <c r="U308" s="30">
        <v>7624</v>
      </c>
    </row>
    <row r="309" spans="20:21" x14ac:dyDescent="0.35">
      <c r="T309" s="30">
        <v>610</v>
      </c>
      <c r="U309" s="30">
        <v>7660</v>
      </c>
    </row>
    <row r="310" spans="20:21" x14ac:dyDescent="0.35">
      <c r="T310" s="30">
        <v>612</v>
      </c>
      <c r="U310" s="30">
        <v>7696</v>
      </c>
    </row>
    <row r="311" spans="20:21" x14ac:dyDescent="0.35">
      <c r="T311" s="30">
        <v>614</v>
      </c>
      <c r="U311" s="30">
        <v>7731.5</v>
      </c>
    </row>
    <row r="312" spans="20:21" x14ac:dyDescent="0.35">
      <c r="T312" s="30">
        <v>616</v>
      </c>
      <c r="U312" s="30">
        <v>7767</v>
      </c>
    </row>
    <row r="313" spans="20:21" x14ac:dyDescent="0.35">
      <c r="T313" s="30">
        <v>618</v>
      </c>
      <c r="U313" s="30">
        <v>7803</v>
      </c>
    </row>
    <row r="314" spans="20:21" x14ac:dyDescent="0.35">
      <c r="T314" s="30">
        <v>620</v>
      </c>
      <c r="U314" s="30">
        <v>7839</v>
      </c>
    </row>
    <row r="315" spans="20:21" x14ac:dyDescent="0.35">
      <c r="T315" s="30">
        <v>622</v>
      </c>
      <c r="U315" s="30">
        <v>7875</v>
      </c>
    </row>
    <row r="316" spans="20:21" x14ac:dyDescent="0.35">
      <c r="T316" s="30">
        <v>624</v>
      </c>
      <c r="U316" s="30">
        <v>7911</v>
      </c>
    </row>
    <row r="317" spans="20:21" x14ac:dyDescent="0.35">
      <c r="T317" s="30">
        <v>626</v>
      </c>
      <c r="U317" s="30">
        <v>7947</v>
      </c>
    </row>
    <row r="318" spans="20:21" x14ac:dyDescent="0.35">
      <c r="T318" s="30">
        <v>628</v>
      </c>
      <c r="U318" s="30">
        <v>7983</v>
      </c>
    </row>
    <row r="319" spans="20:21" x14ac:dyDescent="0.35">
      <c r="T319" s="30">
        <v>630</v>
      </c>
      <c r="U319" s="30">
        <v>8019.5</v>
      </c>
    </row>
    <row r="320" spans="20:21" x14ac:dyDescent="0.35">
      <c r="T320" s="30">
        <v>632</v>
      </c>
      <c r="U320" s="30">
        <v>8056</v>
      </c>
    </row>
    <row r="321" spans="20:21" x14ac:dyDescent="0.35">
      <c r="T321" s="30">
        <v>634</v>
      </c>
      <c r="U321" s="30">
        <v>8092</v>
      </c>
    </row>
    <row r="322" spans="20:21" x14ac:dyDescent="0.35">
      <c r="T322" s="30">
        <v>636</v>
      </c>
      <c r="U322" s="30">
        <v>8128</v>
      </c>
    </row>
    <row r="323" spans="20:21" x14ac:dyDescent="0.35">
      <c r="T323" s="30">
        <v>638</v>
      </c>
      <c r="U323" s="30">
        <v>8164.5</v>
      </c>
    </row>
    <row r="324" spans="20:21" x14ac:dyDescent="0.35">
      <c r="T324" s="30">
        <v>640</v>
      </c>
      <c r="U324" s="30">
        <v>8201</v>
      </c>
    </row>
    <row r="325" spans="20:21" x14ac:dyDescent="0.35">
      <c r="T325" s="30">
        <v>642</v>
      </c>
      <c r="U325" s="30">
        <v>8237.5</v>
      </c>
    </row>
    <row r="326" spans="20:21" x14ac:dyDescent="0.35">
      <c r="T326" s="30">
        <v>644</v>
      </c>
      <c r="U326" s="30">
        <v>8274</v>
      </c>
    </row>
    <row r="327" spans="20:21" x14ac:dyDescent="0.35">
      <c r="T327" s="30">
        <v>646</v>
      </c>
      <c r="U327" s="30">
        <v>8310.5</v>
      </c>
    </row>
    <row r="328" spans="20:21" x14ac:dyDescent="0.35">
      <c r="T328" s="30">
        <v>648</v>
      </c>
      <c r="U328" s="30">
        <v>8347</v>
      </c>
    </row>
    <row r="329" spans="20:21" x14ac:dyDescent="0.35">
      <c r="T329" s="30">
        <v>650</v>
      </c>
      <c r="U329" s="30">
        <v>8383.5</v>
      </c>
    </row>
    <row r="330" spans="20:21" x14ac:dyDescent="0.35">
      <c r="T330" s="30">
        <v>652</v>
      </c>
      <c r="U330" s="30">
        <v>8420</v>
      </c>
    </row>
    <row r="331" spans="20:21" x14ac:dyDescent="0.35">
      <c r="T331" s="30">
        <v>654</v>
      </c>
      <c r="U331" s="30">
        <v>8456.5</v>
      </c>
    </row>
    <row r="332" spans="20:21" x14ac:dyDescent="0.35">
      <c r="T332" s="30">
        <v>656</v>
      </c>
      <c r="U332" s="30">
        <v>8493</v>
      </c>
    </row>
    <row r="333" spans="20:21" x14ac:dyDescent="0.35">
      <c r="T333" s="30">
        <v>658</v>
      </c>
      <c r="U333" s="30">
        <v>8530</v>
      </c>
    </row>
    <row r="334" spans="20:21" x14ac:dyDescent="0.35">
      <c r="T334" s="30">
        <v>660</v>
      </c>
      <c r="U334" s="30">
        <v>8567</v>
      </c>
    </row>
    <row r="335" spans="20:21" x14ac:dyDescent="0.35">
      <c r="T335" s="30">
        <v>662</v>
      </c>
      <c r="U335" s="30">
        <v>8604</v>
      </c>
    </row>
    <row r="336" spans="20:21" x14ac:dyDescent="0.35">
      <c r="T336" s="30">
        <v>664</v>
      </c>
      <c r="U336" s="30">
        <v>8641</v>
      </c>
    </row>
    <row r="337" spans="20:21" x14ac:dyDescent="0.35">
      <c r="T337" s="30">
        <v>666</v>
      </c>
      <c r="U337" s="30">
        <v>8677.5</v>
      </c>
    </row>
    <row r="338" spans="20:21" x14ac:dyDescent="0.35">
      <c r="T338" s="30">
        <v>668</v>
      </c>
      <c r="U338" s="30">
        <v>8714</v>
      </c>
    </row>
    <row r="339" spans="20:21" x14ac:dyDescent="0.35">
      <c r="T339" s="30">
        <v>670</v>
      </c>
      <c r="U339" s="30">
        <v>8751</v>
      </c>
    </row>
    <row r="340" spans="20:21" x14ac:dyDescent="0.35">
      <c r="T340" s="30">
        <v>672</v>
      </c>
      <c r="U340" s="30">
        <v>8788</v>
      </c>
    </row>
    <row r="341" spans="20:21" x14ac:dyDescent="0.35">
      <c r="T341" s="30">
        <v>674</v>
      </c>
      <c r="U341" s="30">
        <v>8825</v>
      </c>
    </row>
    <row r="342" spans="20:21" x14ac:dyDescent="0.35">
      <c r="T342" s="30">
        <v>676</v>
      </c>
      <c r="U342" s="30">
        <v>8862</v>
      </c>
    </row>
    <row r="343" spans="20:21" x14ac:dyDescent="0.35">
      <c r="T343" s="30">
        <v>678</v>
      </c>
      <c r="U343" s="30">
        <v>8899.5</v>
      </c>
    </row>
    <row r="344" spans="20:21" x14ac:dyDescent="0.35">
      <c r="T344" s="30">
        <v>680</v>
      </c>
      <c r="U344" s="30">
        <v>8937</v>
      </c>
    </row>
    <row r="345" spans="20:21" x14ac:dyDescent="0.35">
      <c r="T345" s="30">
        <v>682</v>
      </c>
      <c r="U345" s="30">
        <v>8974</v>
      </c>
    </row>
    <row r="346" spans="20:21" x14ac:dyDescent="0.35">
      <c r="T346" s="30">
        <v>684</v>
      </c>
      <c r="U346" s="30">
        <v>9011</v>
      </c>
    </row>
    <row r="347" spans="20:21" x14ac:dyDescent="0.35">
      <c r="T347" s="30">
        <v>686</v>
      </c>
      <c r="U347" s="30">
        <v>9048</v>
      </c>
    </row>
    <row r="348" spans="20:21" x14ac:dyDescent="0.35">
      <c r="T348" s="30">
        <v>688</v>
      </c>
      <c r="U348" s="30">
        <v>9085</v>
      </c>
    </row>
    <row r="349" spans="20:21" x14ac:dyDescent="0.35">
      <c r="T349" s="30">
        <v>690</v>
      </c>
      <c r="U349" s="30">
        <v>9122.5</v>
      </c>
    </row>
    <row r="350" spans="20:21" x14ac:dyDescent="0.35">
      <c r="T350" s="30">
        <v>692</v>
      </c>
      <c r="U350" s="30">
        <v>9160</v>
      </c>
    </row>
    <row r="351" spans="20:21" x14ac:dyDescent="0.35">
      <c r="T351" s="30">
        <v>694</v>
      </c>
      <c r="U351" s="30">
        <v>9197.5</v>
      </c>
    </row>
    <row r="352" spans="20:21" x14ac:dyDescent="0.35">
      <c r="T352" s="30">
        <v>696</v>
      </c>
      <c r="U352" s="30">
        <v>9235</v>
      </c>
    </row>
    <row r="353" spans="20:21" x14ac:dyDescent="0.35">
      <c r="T353" s="30">
        <v>698</v>
      </c>
      <c r="U353" s="30">
        <v>9272.5</v>
      </c>
    </row>
    <row r="354" spans="20:21" x14ac:dyDescent="0.35">
      <c r="T354" s="30">
        <v>700</v>
      </c>
      <c r="U354" s="30">
        <v>9310</v>
      </c>
    </row>
    <row r="355" spans="20:21" x14ac:dyDescent="0.35">
      <c r="T355" s="30">
        <v>702</v>
      </c>
      <c r="U355" s="30">
        <v>9347.5</v>
      </c>
    </row>
    <row r="356" spans="20:21" x14ac:dyDescent="0.35">
      <c r="T356" s="30">
        <v>704</v>
      </c>
      <c r="U356" s="30">
        <v>9385</v>
      </c>
    </row>
    <row r="357" spans="20:21" x14ac:dyDescent="0.35">
      <c r="T357" s="30">
        <v>706</v>
      </c>
      <c r="U357" s="30">
        <v>9422.5</v>
      </c>
    </row>
    <row r="358" spans="20:21" x14ac:dyDescent="0.35">
      <c r="T358" s="30">
        <v>708</v>
      </c>
      <c r="U358" s="30">
        <v>9460</v>
      </c>
    </row>
    <row r="359" spans="20:21" x14ac:dyDescent="0.35">
      <c r="T359" s="30">
        <v>710</v>
      </c>
      <c r="U359" s="30">
        <v>9498</v>
      </c>
    </row>
    <row r="360" spans="20:21" x14ac:dyDescent="0.35">
      <c r="T360" s="30">
        <v>712</v>
      </c>
      <c r="U360" s="30">
        <v>9536</v>
      </c>
    </row>
    <row r="361" spans="20:21" x14ac:dyDescent="0.35">
      <c r="T361" s="30">
        <v>714</v>
      </c>
      <c r="U361" s="30">
        <v>9573.5</v>
      </c>
    </row>
    <row r="362" spans="20:21" x14ac:dyDescent="0.35">
      <c r="T362" s="30">
        <v>716</v>
      </c>
      <c r="U362" s="30">
        <v>9611</v>
      </c>
    </row>
    <row r="363" spans="20:21" x14ac:dyDescent="0.35">
      <c r="T363" s="30">
        <v>718</v>
      </c>
      <c r="U363" s="30">
        <v>9649</v>
      </c>
    </row>
    <row r="364" spans="20:21" x14ac:dyDescent="0.35">
      <c r="T364" s="30">
        <v>720</v>
      </c>
      <c r="U364" s="30">
        <v>9687</v>
      </c>
    </row>
    <row r="365" spans="20:21" x14ac:dyDescent="0.35">
      <c r="T365" s="30">
        <v>722</v>
      </c>
      <c r="U365" s="30">
        <v>9725</v>
      </c>
    </row>
    <row r="366" spans="20:21" x14ac:dyDescent="0.35">
      <c r="T366" s="30">
        <v>724</v>
      </c>
      <c r="U366" s="30">
        <v>9763</v>
      </c>
    </row>
    <row r="367" spans="20:21" x14ac:dyDescent="0.35">
      <c r="T367" s="30">
        <v>726</v>
      </c>
      <c r="U367" s="30">
        <v>9801</v>
      </c>
    </row>
    <row r="368" spans="20:21" x14ac:dyDescent="0.35">
      <c r="T368" s="30">
        <v>728</v>
      </c>
      <c r="U368" s="30">
        <v>9839</v>
      </c>
    </row>
    <row r="369" spans="20:21" x14ac:dyDescent="0.35">
      <c r="T369" s="30">
        <v>730</v>
      </c>
      <c r="U369" s="30">
        <v>9877</v>
      </c>
    </row>
    <row r="370" spans="20:21" x14ac:dyDescent="0.35">
      <c r="T370" s="30">
        <v>732</v>
      </c>
      <c r="U370" s="30">
        <v>9915</v>
      </c>
    </row>
    <row r="371" spans="20:21" x14ac:dyDescent="0.35">
      <c r="T371" s="30">
        <v>734</v>
      </c>
      <c r="U371" s="30">
        <v>9953</v>
      </c>
    </row>
    <row r="372" spans="20:21" x14ac:dyDescent="0.35">
      <c r="T372" s="30">
        <v>736</v>
      </c>
      <c r="U372" s="30">
        <v>9991</v>
      </c>
    </row>
    <row r="373" spans="20:21" x14ac:dyDescent="0.35">
      <c r="T373" s="30">
        <v>738</v>
      </c>
      <c r="U373" s="30">
        <v>10029</v>
      </c>
    </row>
    <row r="374" spans="20:21" x14ac:dyDescent="0.35">
      <c r="T374" s="30">
        <v>740</v>
      </c>
      <c r="U374" s="30">
        <v>10067</v>
      </c>
    </row>
    <row r="375" spans="20:21" x14ac:dyDescent="0.35">
      <c r="T375" s="30">
        <v>742</v>
      </c>
      <c r="U375" s="30">
        <v>10105.5</v>
      </c>
    </row>
    <row r="376" spans="20:21" x14ac:dyDescent="0.35">
      <c r="T376" s="30">
        <v>744</v>
      </c>
      <c r="U376" s="30">
        <v>10144</v>
      </c>
    </row>
    <row r="377" spans="20:21" x14ac:dyDescent="0.35">
      <c r="T377" s="30">
        <v>746</v>
      </c>
      <c r="U377" s="30">
        <v>10182</v>
      </c>
    </row>
    <row r="378" spans="20:21" x14ac:dyDescent="0.35">
      <c r="T378" s="30">
        <v>748</v>
      </c>
      <c r="U378" s="30">
        <v>10220</v>
      </c>
    </row>
    <row r="379" spans="20:21" x14ac:dyDescent="0.35">
      <c r="T379" s="30">
        <v>750</v>
      </c>
      <c r="U379" s="30">
        <v>10258.5</v>
      </c>
    </row>
    <row r="380" spans="20:21" x14ac:dyDescent="0.35">
      <c r="T380" s="30">
        <v>752</v>
      </c>
      <c r="U380" s="30">
        <v>10297</v>
      </c>
    </row>
    <row r="381" spans="20:21" x14ac:dyDescent="0.35">
      <c r="T381" s="30">
        <v>754</v>
      </c>
      <c r="U381" s="30">
        <v>10335.5</v>
      </c>
    </row>
    <row r="382" spans="20:21" x14ac:dyDescent="0.35">
      <c r="T382" s="30">
        <v>756</v>
      </c>
      <c r="U382" s="30">
        <v>10374</v>
      </c>
    </row>
    <row r="383" spans="20:21" x14ac:dyDescent="0.35">
      <c r="T383" s="30">
        <v>758</v>
      </c>
      <c r="U383" s="30">
        <v>10412.5</v>
      </c>
    </row>
    <row r="384" spans="20:21" x14ac:dyDescent="0.35">
      <c r="T384" s="30">
        <v>760</v>
      </c>
      <c r="U384" s="30">
        <v>10451</v>
      </c>
    </row>
    <row r="385" spans="20:21" x14ac:dyDescent="0.35">
      <c r="T385" s="30">
        <v>762</v>
      </c>
      <c r="U385" s="30">
        <v>10489.5</v>
      </c>
    </row>
    <row r="386" spans="20:21" x14ac:dyDescent="0.35">
      <c r="T386" s="30">
        <v>764</v>
      </c>
      <c r="U386" s="30">
        <v>10528</v>
      </c>
    </row>
    <row r="387" spans="20:21" x14ac:dyDescent="0.35">
      <c r="T387" s="30">
        <v>766</v>
      </c>
      <c r="U387" s="30">
        <v>10566.5</v>
      </c>
    </row>
    <row r="388" spans="20:21" x14ac:dyDescent="0.35">
      <c r="T388" s="30">
        <v>768</v>
      </c>
      <c r="U388" s="30">
        <v>10605</v>
      </c>
    </row>
    <row r="389" spans="20:21" x14ac:dyDescent="0.35">
      <c r="T389" s="30">
        <v>770</v>
      </c>
      <c r="U389" s="30">
        <v>10643.5</v>
      </c>
    </row>
    <row r="390" spans="20:21" x14ac:dyDescent="0.35">
      <c r="T390" s="30">
        <v>772</v>
      </c>
      <c r="U390" s="30">
        <v>10682</v>
      </c>
    </row>
    <row r="391" spans="20:21" x14ac:dyDescent="0.35">
      <c r="T391" s="30">
        <v>774</v>
      </c>
      <c r="U391" s="30">
        <v>10721</v>
      </c>
    </row>
    <row r="392" spans="20:21" x14ac:dyDescent="0.35">
      <c r="T392" s="30">
        <v>776</v>
      </c>
      <c r="U392" s="30">
        <v>10760</v>
      </c>
    </row>
    <row r="393" spans="20:21" x14ac:dyDescent="0.35">
      <c r="T393" s="30">
        <v>778</v>
      </c>
      <c r="U393" s="30">
        <v>10798.5</v>
      </c>
    </row>
    <row r="394" spans="20:21" x14ac:dyDescent="0.35">
      <c r="T394" s="30">
        <v>780</v>
      </c>
      <c r="U394" s="30">
        <v>10837</v>
      </c>
    </row>
    <row r="395" spans="20:21" x14ac:dyDescent="0.35">
      <c r="T395" s="30">
        <v>782</v>
      </c>
      <c r="U395" s="30">
        <v>10876</v>
      </c>
    </row>
    <row r="396" spans="20:21" x14ac:dyDescent="0.35">
      <c r="T396" s="30">
        <v>784</v>
      </c>
      <c r="U396" s="30">
        <v>10915</v>
      </c>
    </row>
    <row r="397" spans="20:21" x14ac:dyDescent="0.35">
      <c r="T397" s="30">
        <v>786</v>
      </c>
      <c r="U397" s="30">
        <v>10954</v>
      </c>
    </row>
    <row r="398" spans="20:21" x14ac:dyDescent="0.35">
      <c r="T398" s="30">
        <v>788</v>
      </c>
      <c r="U398" s="30">
        <v>10993</v>
      </c>
    </row>
    <row r="399" spans="20:21" x14ac:dyDescent="0.35">
      <c r="T399" s="30">
        <v>790</v>
      </c>
      <c r="U399" s="30">
        <v>11033.5</v>
      </c>
    </row>
    <row r="400" spans="20:21" x14ac:dyDescent="0.35">
      <c r="T400" s="30">
        <v>792</v>
      </c>
      <c r="U400" s="30">
        <v>11074</v>
      </c>
    </row>
    <row r="401" spans="20:21" x14ac:dyDescent="0.35">
      <c r="T401" s="30">
        <v>794</v>
      </c>
      <c r="U401" s="30">
        <v>11111.5</v>
      </c>
    </row>
    <row r="402" spans="20:21" x14ac:dyDescent="0.35">
      <c r="T402" s="30">
        <v>796</v>
      </c>
      <c r="U402" s="30">
        <v>11149</v>
      </c>
    </row>
    <row r="403" spans="20:21" x14ac:dyDescent="0.35">
      <c r="T403" s="30">
        <v>798</v>
      </c>
      <c r="U403" s="30">
        <v>11188</v>
      </c>
    </row>
    <row r="404" spans="20:21" x14ac:dyDescent="0.35">
      <c r="T404" s="30">
        <v>800</v>
      </c>
      <c r="U404" s="30">
        <v>11227</v>
      </c>
    </row>
    <row r="405" spans="20:21" x14ac:dyDescent="0.35">
      <c r="T405" s="30">
        <v>802</v>
      </c>
      <c r="U405" s="30">
        <v>11266</v>
      </c>
    </row>
    <row r="406" spans="20:21" x14ac:dyDescent="0.35">
      <c r="T406" s="30">
        <v>804</v>
      </c>
      <c r="U406" s="30">
        <v>11305</v>
      </c>
    </row>
    <row r="407" spans="20:21" x14ac:dyDescent="0.35">
      <c r="T407" s="30">
        <v>806</v>
      </c>
      <c r="U407" s="30">
        <v>11344.5</v>
      </c>
    </row>
    <row r="408" spans="20:21" x14ac:dyDescent="0.35">
      <c r="T408" s="30">
        <v>808</v>
      </c>
      <c r="U408" s="30">
        <v>11384</v>
      </c>
    </row>
    <row r="409" spans="20:21" x14ac:dyDescent="0.35">
      <c r="T409" s="30">
        <v>810</v>
      </c>
      <c r="U409" s="30">
        <v>11423</v>
      </c>
    </row>
    <row r="410" spans="20:21" x14ac:dyDescent="0.35">
      <c r="T410" s="30">
        <v>812</v>
      </c>
      <c r="U410" s="30">
        <v>11462</v>
      </c>
    </row>
    <row r="411" spans="20:21" x14ac:dyDescent="0.35">
      <c r="T411" s="30">
        <v>814</v>
      </c>
      <c r="U411" s="30">
        <v>11501.5</v>
      </c>
    </row>
    <row r="412" spans="20:21" x14ac:dyDescent="0.35">
      <c r="T412" s="30">
        <v>816</v>
      </c>
      <c r="U412" s="30">
        <v>11541</v>
      </c>
    </row>
    <row r="413" spans="20:21" x14ac:dyDescent="0.35">
      <c r="T413" s="30">
        <v>818</v>
      </c>
      <c r="U413" s="30">
        <v>11580.5</v>
      </c>
    </row>
    <row r="414" spans="20:21" x14ac:dyDescent="0.35">
      <c r="T414" s="30">
        <v>820</v>
      </c>
      <c r="U414" s="30">
        <v>11620</v>
      </c>
    </row>
    <row r="415" spans="20:21" x14ac:dyDescent="0.35">
      <c r="T415" s="30">
        <v>822</v>
      </c>
      <c r="U415" s="30">
        <v>11659.5</v>
      </c>
    </row>
    <row r="416" spans="20:21" x14ac:dyDescent="0.35">
      <c r="T416" s="30">
        <v>824</v>
      </c>
      <c r="U416" s="30">
        <v>11699</v>
      </c>
    </row>
    <row r="417" spans="20:21" x14ac:dyDescent="0.35">
      <c r="T417" s="30">
        <v>826</v>
      </c>
      <c r="U417" s="30">
        <v>11738.5</v>
      </c>
    </row>
    <row r="418" spans="20:21" x14ac:dyDescent="0.35">
      <c r="T418" s="30">
        <v>828</v>
      </c>
      <c r="U418" s="30">
        <v>11778</v>
      </c>
    </row>
    <row r="419" spans="20:21" x14ac:dyDescent="0.35">
      <c r="T419" s="30">
        <v>830</v>
      </c>
      <c r="U419" s="30">
        <v>11817.5</v>
      </c>
    </row>
    <row r="420" spans="20:21" x14ac:dyDescent="0.35">
      <c r="T420" s="30">
        <v>832</v>
      </c>
      <c r="U420" s="30">
        <v>11857</v>
      </c>
    </row>
    <row r="421" spans="20:21" x14ac:dyDescent="0.35">
      <c r="T421" s="30">
        <v>834</v>
      </c>
      <c r="U421" s="30">
        <v>11896.5</v>
      </c>
    </row>
    <row r="422" spans="20:21" x14ac:dyDescent="0.35">
      <c r="T422" s="30">
        <v>836</v>
      </c>
      <c r="U422" s="30">
        <v>11936</v>
      </c>
    </row>
    <row r="423" spans="20:21" x14ac:dyDescent="0.35">
      <c r="T423" s="30">
        <v>838</v>
      </c>
      <c r="U423" s="30">
        <v>11975.5</v>
      </c>
    </row>
    <row r="424" spans="20:21" x14ac:dyDescent="0.35">
      <c r="T424" s="30">
        <v>840</v>
      </c>
      <c r="U424" s="30">
        <v>12015</v>
      </c>
    </row>
    <row r="425" spans="20:21" x14ac:dyDescent="0.35">
      <c r="T425" s="30">
        <v>842</v>
      </c>
      <c r="U425" s="30">
        <v>12055</v>
      </c>
    </row>
    <row r="426" spans="20:21" x14ac:dyDescent="0.35">
      <c r="T426" s="30">
        <v>844</v>
      </c>
      <c r="U426" s="30">
        <v>12095</v>
      </c>
    </row>
    <row r="427" spans="20:21" x14ac:dyDescent="0.35">
      <c r="T427" s="30">
        <v>846</v>
      </c>
      <c r="U427" s="30">
        <v>12134.5</v>
      </c>
    </row>
    <row r="428" spans="20:21" x14ac:dyDescent="0.35">
      <c r="T428" s="30">
        <v>848</v>
      </c>
      <c r="U428" s="30">
        <v>12174</v>
      </c>
    </row>
    <row r="429" spans="20:21" x14ac:dyDescent="0.35">
      <c r="T429" s="30">
        <v>850</v>
      </c>
      <c r="U429" s="30">
        <v>12214</v>
      </c>
    </row>
    <row r="430" spans="20:21" x14ac:dyDescent="0.35">
      <c r="T430" s="30">
        <v>852</v>
      </c>
      <c r="U430" s="30">
        <v>12254</v>
      </c>
    </row>
    <row r="431" spans="20:21" x14ac:dyDescent="0.35">
      <c r="T431" s="30">
        <v>854</v>
      </c>
      <c r="U431" s="30">
        <v>12293.5</v>
      </c>
    </row>
    <row r="432" spans="20:21" x14ac:dyDescent="0.35">
      <c r="T432" s="30">
        <v>856</v>
      </c>
      <c r="U432" s="30">
        <v>12333</v>
      </c>
    </row>
    <row r="433" spans="20:21" x14ac:dyDescent="0.35">
      <c r="T433" s="30">
        <v>858</v>
      </c>
      <c r="U433" s="30">
        <v>12373</v>
      </c>
    </row>
    <row r="434" spans="20:21" x14ac:dyDescent="0.35">
      <c r="T434" s="30">
        <v>860</v>
      </c>
      <c r="U434" s="30">
        <v>12413</v>
      </c>
    </row>
    <row r="435" spans="20:21" x14ac:dyDescent="0.35">
      <c r="T435" s="30">
        <v>862</v>
      </c>
      <c r="U435" s="30">
        <v>12453</v>
      </c>
    </row>
    <row r="436" spans="20:21" x14ac:dyDescent="0.35">
      <c r="T436" s="30">
        <v>864</v>
      </c>
      <c r="U436" s="30">
        <v>12493</v>
      </c>
    </row>
    <row r="437" spans="20:21" x14ac:dyDescent="0.35">
      <c r="T437" s="30">
        <v>866</v>
      </c>
      <c r="U437" s="30">
        <v>12533</v>
      </c>
    </row>
    <row r="438" spans="20:21" x14ac:dyDescent="0.35">
      <c r="T438" s="30">
        <v>868</v>
      </c>
      <c r="U438" s="30">
        <v>12573</v>
      </c>
    </row>
    <row r="439" spans="20:21" x14ac:dyDescent="0.35">
      <c r="T439" s="30">
        <v>870</v>
      </c>
      <c r="U439" s="30">
        <v>12613</v>
      </c>
    </row>
    <row r="440" spans="20:21" x14ac:dyDescent="0.35">
      <c r="T440" s="30">
        <v>872</v>
      </c>
      <c r="U440" s="30">
        <v>12653</v>
      </c>
    </row>
    <row r="441" spans="20:21" x14ac:dyDescent="0.35">
      <c r="T441" s="30">
        <v>874</v>
      </c>
      <c r="U441" s="30">
        <v>12693</v>
      </c>
    </row>
    <row r="442" spans="20:21" x14ac:dyDescent="0.35">
      <c r="T442" s="30">
        <v>876</v>
      </c>
      <c r="U442" s="30">
        <v>12733</v>
      </c>
    </row>
    <row r="443" spans="20:21" x14ac:dyDescent="0.35">
      <c r="T443" s="30">
        <v>878</v>
      </c>
      <c r="U443" s="30">
        <v>12773.5</v>
      </c>
    </row>
    <row r="444" spans="20:21" x14ac:dyDescent="0.35">
      <c r="T444" s="30">
        <v>880</v>
      </c>
      <c r="U444" s="30">
        <v>12814</v>
      </c>
    </row>
    <row r="445" spans="20:21" x14ac:dyDescent="0.35">
      <c r="T445" s="30">
        <v>882</v>
      </c>
      <c r="U445" s="30">
        <v>12854</v>
      </c>
    </row>
    <row r="446" spans="20:21" x14ac:dyDescent="0.35">
      <c r="T446" s="30">
        <v>884</v>
      </c>
      <c r="U446" s="30">
        <v>12894</v>
      </c>
    </row>
    <row r="447" spans="20:21" x14ac:dyDescent="0.35">
      <c r="T447" s="30">
        <v>886</v>
      </c>
      <c r="U447" s="30">
        <v>12934.5</v>
      </c>
    </row>
    <row r="448" spans="20:21" x14ac:dyDescent="0.35">
      <c r="T448" s="30">
        <v>888</v>
      </c>
      <c r="U448" s="30">
        <v>12975</v>
      </c>
    </row>
    <row r="449" spans="20:21" x14ac:dyDescent="0.35">
      <c r="T449" s="30">
        <v>890</v>
      </c>
      <c r="U449" s="30">
        <v>13015</v>
      </c>
    </row>
    <row r="450" spans="20:21" x14ac:dyDescent="0.35">
      <c r="T450" s="30">
        <v>892</v>
      </c>
      <c r="U450" s="30">
        <v>13055</v>
      </c>
    </row>
    <row r="451" spans="20:21" x14ac:dyDescent="0.35">
      <c r="T451" s="30">
        <v>894</v>
      </c>
      <c r="U451" s="30">
        <v>13095.5</v>
      </c>
    </row>
    <row r="452" spans="20:21" x14ac:dyDescent="0.35">
      <c r="T452" s="30">
        <v>896</v>
      </c>
      <c r="U452" s="30">
        <v>13136</v>
      </c>
    </row>
    <row r="453" spans="20:21" x14ac:dyDescent="0.35">
      <c r="T453" s="30">
        <v>898</v>
      </c>
      <c r="U453" s="30">
        <v>13176.5</v>
      </c>
    </row>
    <row r="454" spans="20:21" x14ac:dyDescent="0.35">
      <c r="T454" s="30">
        <v>900</v>
      </c>
      <c r="U454" s="30">
        <v>13217</v>
      </c>
    </row>
    <row r="455" spans="20:21" x14ac:dyDescent="0.35">
      <c r="T455" s="30">
        <v>902</v>
      </c>
      <c r="U455" s="30">
        <v>13257.5</v>
      </c>
    </row>
    <row r="456" spans="20:21" x14ac:dyDescent="0.35">
      <c r="T456" s="30">
        <v>904</v>
      </c>
      <c r="U456" s="30">
        <v>13298</v>
      </c>
    </row>
    <row r="457" spans="20:21" x14ac:dyDescent="0.35">
      <c r="T457" s="30">
        <v>906</v>
      </c>
      <c r="U457" s="30">
        <v>13338.5</v>
      </c>
    </row>
    <row r="458" spans="20:21" x14ac:dyDescent="0.35">
      <c r="T458" s="30">
        <v>908</v>
      </c>
      <c r="U458" s="30">
        <v>13379</v>
      </c>
    </row>
    <row r="459" spans="20:21" x14ac:dyDescent="0.35">
      <c r="T459" s="30">
        <v>910</v>
      </c>
      <c r="U459" s="30">
        <v>13419.5</v>
      </c>
    </row>
    <row r="460" spans="20:21" x14ac:dyDescent="0.35">
      <c r="T460" s="30">
        <v>912</v>
      </c>
      <c r="U460" s="30">
        <v>13460</v>
      </c>
    </row>
    <row r="461" spans="20:21" x14ac:dyDescent="0.35">
      <c r="T461" s="30">
        <v>914</v>
      </c>
      <c r="U461" s="30">
        <v>13500.5</v>
      </c>
    </row>
    <row r="462" spans="20:21" x14ac:dyDescent="0.35">
      <c r="T462" s="30">
        <v>916</v>
      </c>
      <c r="U462" s="30">
        <v>13541</v>
      </c>
    </row>
    <row r="463" spans="20:21" x14ac:dyDescent="0.35">
      <c r="T463" s="30">
        <v>918</v>
      </c>
      <c r="U463" s="30">
        <v>13581.5</v>
      </c>
    </row>
    <row r="464" spans="20:21" x14ac:dyDescent="0.35">
      <c r="T464" s="30">
        <v>920</v>
      </c>
      <c r="U464" s="30">
        <v>13622</v>
      </c>
    </row>
    <row r="465" spans="20:21" x14ac:dyDescent="0.35">
      <c r="T465" s="30">
        <v>922</v>
      </c>
      <c r="U465" s="30">
        <v>13662.5</v>
      </c>
    </row>
    <row r="466" spans="20:21" x14ac:dyDescent="0.35">
      <c r="T466" s="30">
        <v>924</v>
      </c>
      <c r="U466" s="30">
        <v>13703</v>
      </c>
    </row>
    <row r="467" spans="20:21" x14ac:dyDescent="0.35">
      <c r="T467" s="30">
        <v>926</v>
      </c>
      <c r="U467" s="30">
        <v>13744</v>
      </c>
    </row>
    <row r="468" spans="20:21" x14ac:dyDescent="0.35">
      <c r="T468" s="30">
        <v>928</v>
      </c>
      <c r="U468" s="30">
        <v>13785</v>
      </c>
    </row>
    <row r="469" spans="20:21" x14ac:dyDescent="0.35">
      <c r="T469" s="30">
        <v>930</v>
      </c>
      <c r="U469" s="30">
        <v>13825.5</v>
      </c>
    </row>
    <row r="470" spans="20:21" x14ac:dyDescent="0.35">
      <c r="T470" s="30">
        <v>932</v>
      </c>
      <c r="U470" s="30">
        <v>13866</v>
      </c>
    </row>
    <row r="471" spans="20:21" x14ac:dyDescent="0.35">
      <c r="T471" s="30">
        <v>934</v>
      </c>
      <c r="U471" s="30">
        <v>13907</v>
      </c>
    </row>
    <row r="472" spans="20:21" x14ac:dyDescent="0.35">
      <c r="T472" s="30">
        <v>936</v>
      </c>
      <c r="U472" s="30">
        <v>13948</v>
      </c>
    </row>
    <row r="473" spans="20:21" x14ac:dyDescent="0.35">
      <c r="T473" s="30">
        <v>938</v>
      </c>
      <c r="U473" s="30">
        <v>13989</v>
      </c>
    </row>
    <row r="474" spans="20:21" x14ac:dyDescent="0.35">
      <c r="T474" s="30">
        <v>940</v>
      </c>
      <c r="U474" s="30">
        <v>14030</v>
      </c>
    </row>
    <row r="475" spans="20:21" x14ac:dyDescent="0.35">
      <c r="T475" s="30">
        <v>942</v>
      </c>
      <c r="U475" s="30">
        <v>14070.5</v>
      </c>
    </row>
    <row r="476" spans="20:21" x14ac:dyDescent="0.35">
      <c r="T476" s="30">
        <v>944</v>
      </c>
      <c r="U476" s="30">
        <v>14111</v>
      </c>
    </row>
    <row r="477" spans="20:21" x14ac:dyDescent="0.35">
      <c r="T477" s="30">
        <v>946</v>
      </c>
      <c r="U477" s="30">
        <v>14152</v>
      </c>
    </row>
    <row r="478" spans="20:21" x14ac:dyDescent="0.35">
      <c r="T478" s="30">
        <v>948</v>
      </c>
      <c r="U478" s="30">
        <v>14193</v>
      </c>
    </row>
    <row r="479" spans="20:21" x14ac:dyDescent="0.35">
      <c r="T479" s="30">
        <v>950</v>
      </c>
      <c r="U479" s="30">
        <v>14234</v>
      </c>
    </row>
    <row r="480" spans="20:21" x14ac:dyDescent="0.35">
      <c r="T480" s="30">
        <v>952</v>
      </c>
      <c r="U480" s="30">
        <v>14275</v>
      </c>
    </row>
    <row r="481" spans="20:21" x14ac:dyDescent="0.35">
      <c r="T481" s="30">
        <v>954</v>
      </c>
      <c r="U481" s="30">
        <v>14316</v>
      </c>
    </row>
    <row r="482" spans="20:21" x14ac:dyDescent="0.35">
      <c r="T482" s="30">
        <v>956</v>
      </c>
      <c r="U482" s="30">
        <v>14357</v>
      </c>
    </row>
    <row r="483" spans="20:21" x14ac:dyDescent="0.35">
      <c r="T483" s="30">
        <v>958</v>
      </c>
      <c r="U483" s="30">
        <v>14398</v>
      </c>
    </row>
    <row r="484" spans="20:21" x14ac:dyDescent="0.35">
      <c r="T484" s="30">
        <v>960</v>
      </c>
      <c r="U484" s="30">
        <v>14439</v>
      </c>
    </row>
    <row r="485" spans="20:21" x14ac:dyDescent="0.35">
      <c r="T485" s="30">
        <v>962</v>
      </c>
      <c r="U485" s="30">
        <v>14480</v>
      </c>
    </row>
    <row r="486" spans="20:21" x14ac:dyDescent="0.35">
      <c r="T486" s="30">
        <v>964</v>
      </c>
      <c r="U486" s="30">
        <v>14521</v>
      </c>
    </row>
    <row r="487" spans="20:21" x14ac:dyDescent="0.35">
      <c r="T487" s="30">
        <v>966</v>
      </c>
      <c r="U487" s="30">
        <v>14562</v>
      </c>
    </row>
    <row r="488" spans="20:21" x14ac:dyDescent="0.35">
      <c r="T488" s="30">
        <v>968</v>
      </c>
      <c r="U488" s="30">
        <v>14603</v>
      </c>
    </row>
    <row r="489" spans="20:21" x14ac:dyDescent="0.35">
      <c r="T489" s="30">
        <v>970</v>
      </c>
      <c r="U489" s="30">
        <v>14644.5</v>
      </c>
    </row>
    <row r="490" spans="20:21" x14ac:dyDescent="0.35">
      <c r="T490" s="30">
        <v>972</v>
      </c>
      <c r="U490" s="30">
        <v>14686</v>
      </c>
    </row>
    <row r="491" spans="20:21" x14ac:dyDescent="0.35">
      <c r="T491" s="30">
        <v>974</v>
      </c>
      <c r="U491" s="30">
        <v>14727</v>
      </c>
    </row>
    <row r="492" spans="20:21" x14ac:dyDescent="0.35">
      <c r="T492" s="30">
        <v>976</v>
      </c>
      <c r="U492" s="30">
        <v>14768</v>
      </c>
    </row>
    <row r="493" spans="20:21" x14ac:dyDescent="0.35">
      <c r="T493" s="30">
        <v>978</v>
      </c>
      <c r="U493" s="30">
        <v>14809.5</v>
      </c>
    </row>
    <row r="494" spans="20:21" x14ac:dyDescent="0.35">
      <c r="T494" s="30">
        <v>980</v>
      </c>
      <c r="U494" s="30">
        <v>14851</v>
      </c>
    </row>
    <row r="495" spans="20:21" x14ac:dyDescent="0.35">
      <c r="T495" s="30">
        <v>982</v>
      </c>
      <c r="U495" s="30">
        <v>14892</v>
      </c>
    </row>
    <row r="496" spans="20:21" x14ac:dyDescent="0.35">
      <c r="T496" s="30">
        <v>984</v>
      </c>
      <c r="U496" s="30">
        <v>14933</v>
      </c>
    </row>
    <row r="497" spans="20:21" x14ac:dyDescent="0.35">
      <c r="T497" s="30">
        <v>986</v>
      </c>
      <c r="U497" s="30">
        <v>14974.5</v>
      </c>
    </row>
    <row r="498" spans="20:21" x14ac:dyDescent="0.35">
      <c r="T498" s="30">
        <v>988</v>
      </c>
      <c r="U498" s="30">
        <v>15016</v>
      </c>
    </row>
    <row r="499" spans="20:21" x14ac:dyDescent="0.35">
      <c r="T499" s="30">
        <v>990</v>
      </c>
      <c r="U499" s="30">
        <v>15057</v>
      </c>
    </row>
    <row r="500" spans="20:21" x14ac:dyDescent="0.35">
      <c r="T500" s="30">
        <v>992</v>
      </c>
      <c r="U500" s="30">
        <v>15098</v>
      </c>
    </row>
    <row r="501" spans="20:21" x14ac:dyDescent="0.35">
      <c r="T501" s="30">
        <v>994</v>
      </c>
      <c r="U501" s="30">
        <v>15139.5</v>
      </c>
    </row>
    <row r="502" spans="20:21" x14ac:dyDescent="0.35">
      <c r="T502" s="30">
        <v>996</v>
      </c>
      <c r="U502" s="30">
        <v>15181</v>
      </c>
    </row>
    <row r="503" spans="20:21" x14ac:dyDescent="0.35">
      <c r="T503" s="30">
        <v>998</v>
      </c>
      <c r="U503" s="30">
        <v>15222.5</v>
      </c>
    </row>
    <row r="504" spans="20:21" x14ac:dyDescent="0.35">
      <c r="T504" s="30">
        <v>1000</v>
      </c>
      <c r="U504" s="30">
        <v>15264</v>
      </c>
    </row>
    <row r="505" spans="20:21" x14ac:dyDescent="0.35">
      <c r="T505" s="30">
        <v>1002</v>
      </c>
      <c r="U505" s="30">
        <v>15305.5</v>
      </c>
    </row>
    <row r="506" spans="20:21" x14ac:dyDescent="0.35">
      <c r="T506" s="30">
        <v>1004</v>
      </c>
      <c r="U506" s="30">
        <v>15347</v>
      </c>
    </row>
    <row r="507" spans="20:21" x14ac:dyDescent="0.35">
      <c r="T507" s="30">
        <v>1006</v>
      </c>
      <c r="U507" s="30">
        <v>15388.5</v>
      </c>
    </row>
    <row r="508" spans="20:21" x14ac:dyDescent="0.35">
      <c r="T508" s="30">
        <v>1008</v>
      </c>
      <c r="U508" s="30">
        <v>15430</v>
      </c>
    </row>
    <row r="509" spans="20:21" x14ac:dyDescent="0.35">
      <c r="T509" s="30">
        <v>1010</v>
      </c>
      <c r="U509" s="30">
        <v>15471.5</v>
      </c>
    </row>
    <row r="510" spans="20:21" x14ac:dyDescent="0.35">
      <c r="T510" s="30">
        <v>1012</v>
      </c>
      <c r="U510" s="30">
        <v>15513</v>
      </c>
    </row>
    <row r="511" spans="20:21" x14ac:dyDescent="0.35">
      <c r="T511" s="30">
        <v>1014</v>
      </c>
      <c r="U511" s="30">
        <v>15554.5</v>
      </c>
    </row>
    <row r="512" spans="20:21" x14ac:dyDescent="0.35">
      <c r="T512" s="30">
        <v>1016</v>
      </c>
      <c r="U512" s="30">
        <v>15596</v>
      </c>
    </row>
    <row r="513" spans="20:21" x14ac:dyDescent="0.35">
      <c r="T513" s="30">
        <v>1018</v>
      </c>
      <c r="U513" s="30">
        <v>15637.5</v>
      </c>
    </row>
    <row r="514" spans="20:21" x14ac:dyDescent="0.35">
      <c r="T514" s="30">
        <v>1020</v>
      </c>
      <c r="U514" s="30">
        <v>15679</v>
      </c>
    </row>
    <row r="515" spans="20:21" x14ac:dyDescent="0.35">
      <c r="T515" s="30">
        <v>1022</v>
      </c>
      <c r="U515" s="30">
        <v>15720.5</v>
      </c>
    </row>
    <row r="516" spans="20:21" x14ac:dyDescent="0.35">
      <c r="T516" s="30">
        <v>1024</v>
      </c>
      <c r="U516" s="30">
        <v>15762</v>
      </c>
    </row>
    <row r="517" spans="20:21" x14ac:dyDescent="0.35">
      <c r="T517" s="30">
        <v>1026</v>
      </c>
      <c r="U517" s="30">
        <v>15804</v>
      </c>
    </row>
    <row r="518" spans="20:21" x14ac:dyDescent="0.35">
      <c r="T518" s="30">
        <v>1028</v>
      </c>
      <c r="U518" s="30">
        <v>15846</v>
      </c>
    </row>
    <row r="519" spans="20:21" x14ac:dyDescent="0.35">
      <c r="T519" s="30">
        <v>1030</v>
      </c>
      <c r="U519" s="30">
        <v>15887.5</v>
      </c>
    </row>
    <row r="520" spans="20:21" x14ac:dyDescent="0.35">
      <c r="T520" s="30">
        <v>1032</v>
      </c>
      <c r="U520" s="30">
        <v>15929</v>
      </c>
    </row>
    <row r="521" spans="20:21" x14ac:dyDescent="0.35">
      <c r="T521" s="30">
        <v>1034</v>
      </c>
      <c r="U521" s="30">
        <v>15971</v>
      </c>
    </row>
    <row r="522" spans="20:21" x14ac:dyDescent="0.35">
      <c r="T522" s="30">
        <v>1036</v>
      </c>
      <c r="U522" s="30">
        <v>16013</v>
      </c>
    </row>
    <row r="523" spans="20:21" x14ac:dyDescent="0.35">
      <c r="T523" s="30">
        <v>1038</v>
      </c>
      <c r="U523" s="30">
        <v>16054.5</v>
      </c>
    </row>
    <row r="524" spans="20:21" x14ac:dyDescent="0.35">
      <c r="T524" s="30">
        <v>1040</v>
      </c>
      <c r="U524" s="30">
        <v>16096</v>
      </c>
    </row>
    <row r="525" spans="20:21" x14ac:dyDescent="0.35">
      <c r="T525" s="30">
        <v>1042</v>
      </c>
      <c r="U525" s="30">
        <v>16138</v>
      </c>
    </row>
    <row r="526" spans="20:21" x14ac:dyDescent="0.35">
      <c r="T526" s="30">
        <v>1044</v>
      </c>
      <c r="U526" s="30">
        <v>16180</v>
      </c>
    </row>
    <row r="527" spans="20:21" x14ac:dyDescent="0.35">
      <c r="T527" s="30">
        <v>1046</v>
      </c>
      <c r="U527" s="30">
        <v>16221.5</v>
      </c>
    </row>
    <row r="528" spans="20:21" x14ac:dyDescent="0.35">
      <c r="T528" s="30">
        <v>1048</v>
      </c>
      <c r="U528" s="30">
        <v>16263</v>
      </c>
    </row>
    <row r="529" spans="20:21" x14ac:dyDescent="0.35">
      <c r="T529" s="30">
        <v>1050</v>
      </c>
      <c r="U529" s="30">
        <v>16305</v>
      </c>
    </row>
    <row r="530" spans="20:21" x14ac:dyDescent="0.35">
      <c r="T530" s="30">
        <v>1052</v>
      </c>
      <c r="U530" s="30">
        <v>16347</v>
      </c>
    </row>
    <row r="531" spans="20:21" x14ac:dyDescent="0.35">
      <c r="T531" s="30">
        <v>1054</v>
      </c>
      <c r="U531" s="30">
        <v>16389</v>
      </c>
    </row>
    <row r="532" spans="20:21" x14ac:dyDescent="0.35">
      <c r="T532" s="30">
        <v>1056</v>
      </c>
      <c r="U532" s="30">
        <v>16431</v>
      </c>
    </row>
    <row r="533" spans="20:21" x14ac:dyDescent="0.35">
      <c r="T533" s="30">
        <v>1058</v>
      </c>
      <c r="U533" s="30">
        <v>16472.5</v>
      </c>
    </row>
    <row r="534" spans="20:21" x14ac:dyDescent="0.35">
      <c r="T534" s="30">
        <v>1060</v>
      </c>
      <c r="U534" s="30">
        <v>16514</v>
      </c>
    </row>
    <row r="535" spans="20:21" x14ac:dyDescent="0.35">
      <c r="T535" s="30">
        <v>1062</v>
      </c>
      <c r="U535" s="30">
        <v>16556</v>
      </c>
    </row>
    <row r="536" spans="20:21" x14ac:dyDescent="0.35">
      <c r="T536" s="30">
        <v>1064</v>
      </c>
      <c r="U536" s="30">
        <v>16598</v>
      </c>
    </row>
    <row r="537" spans="20:21" x14ac:dyDescent="0.35">
      <c r="T537" s="30">
        <v>1066</v>
      </c>
      <c r="U537" s="30">
        <v>16640</v>
      </c>
    </row>
    <row r="538" spans="20:21" x14ac:dyDescent="0.35">
      <c r="T538" s="30">
        <v>1068</v>
      </c>
      <c r="U538" s="30">
        <v>16682</v>
      </c>
    </row>
    <row r="539" spans="20:21" x14ac:dyDescent="0.35">
      <c r="T539" s="30">
        <v>1070</v>
      </c>
      <c r="U539" s="30">
        <v>16724</v>
      </c>
    </row>
    <row r="540" spans="20:21" x14ac:dyDescent="0.35">
      <c r="T540" s="30">
        <v>1072</v>
      </c>
      <c r="U540" s="30">
        <v>16766</v>
      </c>
    </row>
    <row r="541" spans="20:21" x14ac:dyDescent="0.35">
      <c r="T541" s="30">
        <v>1074</v>
      </c>
      <c r="U541" s="30">
        <v>16808</v>
      </c>
    </row>
    <row r="542" spans="20:21" x14ac:dyDescent="0.35">
      <c r="T542" s="30">
        <v>1076</v>
      </c>
      <c r="U542" s="30">
        <v>16850</v>
      </c>
    </row>
    <row r="543" spans="20:21" x14ac:dyDescent="0.35">
      <c r="T543" s="30">
        <v>1078</v>
      </c>
      <c r="U543" s="30">
        <v>16892</v>
      </c>
    </row>
    <row r="544" spans="20:21" x14ac:dyDescent="0.35">
      <c r="T544" s="30">
        <v>1080</v>
      </c>
      <c r="U544" s="30">
        <v>16934</v>
      </c>
    </row>
    <row r="545" spans="20:21" x14ac:dyDescent="0.35">
      <c r="T545" s="30">
        <v>1082</v>
      </c>
      <c r="U545" s="30">
        <v>16976</v>
      </c>
    </row>
    <row r="546" spans="20:21" x14ac:dyDescent="0.35">
      <c r="T546" s="30">
        <v>1084</v>
      </c>
      <c r="U546" s="30">
        <v>17018</v>
      </c>
    </row>
    <row r="547" spans="20:21" x14ac:dyDescent="0.35">
      <c r="T547" s="30">
        <v>1086</v>
      </c>
      <c r="U547" s="30">
        <v>17060.5</v>
      </c>
    </row>
    <row r="548" spans="20:21" x14ac:dyDescent="0.35">
      <c r="T548" s="30">
        <v>1088</v>
      </c>
      <c r="U548" s="30">
        <v>17103</v>
      </c>
    </row>
    <row r="549" spans="20:21" x14ac:dyDescent="0.35">
      <c r="T549" s="30">
        <v>1090</v>
      </c>
      <c r="U549" s="30">
        <v>17145</v>
      </c>
    </row>
    <row r="550" spans="20:21" x14ac:dyDescent="0.35">
      <c r="T550" s="30">
        <v>1092</v>
      </c>
      <c r="U550" s="30">
        <v>17187</v>
      </c>
    </row>
    <row r="551" spans="20:21" x14ac:dyDescent="0.35">
      <c r="T551" s="30">
        <v>1094</v>
      </c>
      <c r="U551" s="30">
        <v>17229</v>
      </c>
    </row>
    <row r="552" spans="20:21" x14ac:dyDescent="0.35">
      <c r="T552" s="30">
        <v>1096</v>
      </c>
      <c r="U552" s="30">
        <v>17271</v>
      </c>
    </row>
    <row r="553" spans="20:21" x14ac:dyDescent="0.35">
      <c r="T553" s="30">
        <v>1098</v>
      </c>
      <c r="U553" s="30">
        <v>17313.5</v>
      </c>
    </row>
    <row r="554" spans="20:21" x14ac:dyDescent="0.35">
      <c r="T554" s="30">
        <v>1100</v>
      </c>
      <c r="U554" s="30">
        <v>17356</v>
      </c>
    </row>
    <row r="555" spans="20:21" x14ac:dyDescent="0.35">
      <c r="T555" s="30">
        <v>1102</v>
      </c>
      <c r="U555" s="30">
        <v>17398</v>
      </c>
    </row>
    <row r="556" spans="20:21" x14ac:dyDescent="0.35">
      <c r="T556" s="30">
        <v>1104</v>
      </c>
      <c r="U556" s="30">
        <v>17440</v>
      </c>
    </row>
    <row r="557" spans="20:21" x14ac:dyDescent="0.35">
      <c r="T557" s="30">
        <v>1106</v>
      </c>
      <c r="U557" s="30">
        <v>17482</v>
      </c>
    </row>
    <row r="558" spans="20:21" x14ac:dyDescent="0.35">
      <c r="T558" s="30">
        <v>1108</v>
      </c>
      <c r="U558" s="30">
        <v>17524</v>
      </c>
    </row>
    <row r="559" spans="20:21" x14ac:dyDescent="0.35">
      <c r="T559" s="30">
        <v>1110</v>
      </c>
      <c r="U559" s="30">
        <v>17566.5</v>
      </c>
    </row>
    <row r="560" spans="20:21" x14ac:dyDescent="0.35">
      <c r="T560" s="30">
        <v>1112</v>
      </c>
      <c r="U560" s="30">
        <v>17609</v>
      </c>
    </row>
    <row r="561" spans="20:21" x14ac:dyDescent="0.35">
      <c r="T561" s="30">
        <v>1114</v>
      </c>
      <c r="U561" s="30">
        <v>17651</v>
      </c>
    </row>
    <row r="562" spans="20:21" x14ac:dyDescent="0.35">
      <c r="T562" s="30">
        <v>1116</v>
      </c>
      <c r="U562" s="30">
        <v>17693</v>
      </c>
    </row>
    <row r="563" spans="20:21" x14ac:dyDescent="0.35">
      <c r="T563" s="30">
        <v>1118</v>
      </c>
      <c r="U563" s="30">
        <v>17735.5</v>
      </c>
    </row>
    <row r="564" spans="20:21" x14ac:dyDescent="0.35">
      <c r="T564" s="30">
        <v>1120</v>
      </c>
      <c r="U564" s="30">
        <v>17778</v>
      </c>
    </row>
    <row r="565" spans="20:21" x14ac:dyDescent="0.35">
      <c r="T565" s="30">
        <v>1122</v>
      </c>
      <c r="U565" s="30">
        <v>17820.5</v>
      </c>
    </row>
    <row r="566" spans="20:21" x14ac:dyDescent="0.35">
      <c r="T566" s="30">
        <v>1124</v>
      </c>
      <c r="U566" s="30">
        <v>17863</v>
      </c>
    </row>
    <row r="567" spans="20:21" x14ac:dyDescent="0.35">
      <c r="T567" s="30">
        <v>1126</v>
      </c>
      <c r="U567" s="30">
        <v>17905</v>
      </c>
    </row>
    <row r="568" spans="20:21" x14ac:dyDescent="0.35">
      <c r="T568" s="30">
        <v>1128</v>
      </c>
      <c r="U568" s="30">
        <v>17947</v>
      </c>
    </row>
    <row r="569" spans="20:21" x14ac:dyDescent="0.35">
      <c r="T569" s="30">
        <v>1130</v>
      </c>
      <c r="U569" s="30">
        <v>17989.5</v>
      </c>
    </row>
    <row r="570" spans="20:21" x14ac:dyDescent="0.35">
      <c r="T570" s="30">
        <v>1132</v>
      </c>
      <c r="U570" s="30">
        <v>18032</v>
      </c>
    </row>
    <row r="571" spans="20:21" x14ac:dyDescent="0.35">
      <c r="T571" s="30">
        <v>1134</v>
      </c>
      <c r="U571" s="30">
        <v>18074.5</v>
      </c>
    </row>
    <row r="572" spans="20:21" x14ac:dyDescent="0.35">
      <c r="T572" s="30">
        <v>1136</v>
      </c>
      <c r="U572" s="30">
        <v>18117</v>
      </c>
    </row>
    <row r="573" spans="20:21" x14ac:dyDescent="0.35">
      <c r="T573" s="30">
        <v>1138</v>
      </c>
      <c r="U573" s="30">
        <v>18159.5</v>
      </c>
    </row>
    <row r="574" spans="20:21" x14ac:dyDescent="0.35">
      <c r="T574" s="30">
        <v>1140</v>
      </c>
      <c r="U574" s="30">
        <v>18202</v>
      </c>
    </row>
    <row r="575" spans="20:21" x14ac:dyDescent="0.35">
      <c r="T575" s="30">
        <v>1142</v>
      </c>
      <c r="U575" s="30">
        <v>18244.5</v>
      </c>
    </row>
    <row r="576" spans="20:21" x14ac:dyDescent="0.35">
      <c r="T576" s="30">
        <v>1144</v>
      </c>
      <c r="U576" s="30">
        <v>18287</v>
      </c>
    </row>
    <row r="577" spans="20:21" x14ac:dyDescent="0.35">
      <c r="T577" s="30">
        <v>1146</v>
      </c>
      <c r="U577" s="30">
        <v>18329</v>
      </c>
    </row>
    <row r="578" spans="20:21" x14ac:dyDescent="0.35">
      <c r="T578" s="30">
        <v>1148</v>
      </c>
      <c r="U578" s="30">
        <v>18371</v>
      </c>
    </row>
    <row r="579" spans="20:21" x14ac:dyDescent="0.35">
      <c r="T579" s="30">
        <v>1150</v>
      </c>
      <c r="U579" s="30">
        <v>18413.5</v>
      </c>
    </row>
    <row r="580" spans="20:21" x14ac:dyDescent="0.35">
      <c r="T580" s="30">
        <v>1152</v>
      </c>
      <c r="U580" s="30">
        <v>18456</v>
      </c>
    </row>
    <row r="581" spans="20:21" x14ac:dyDescent="0.35">
      <c r="T581" s="30">
        <v>1154</v>
      </c>
      <c r="U581" s="30">
        <v>18498.5</v>
      </c>
    </row>
    <row r="582" spans="20:21" x14ac:dyDescent="0.35">
      <c r="T582" s="30">
        <v>1156</v>
      </c>
      <c r="U582" s="30">
        <v>18541</v>
      </c>
    </row>
    <row r="583" spans="20:21" x14ac:dyDescent="0.35">
      <c r="T583" s="30">
        <v>1158</v>
      </c>
      <c r="U583" s="30">
        <v>18583.5</v>
      </c>
    </row>
    <row r="584" spans="20:21" x14ac:dyDescent="0.35">
      <c r="T584" s="30">
        <v>1160</v>
      </c>
      <c r="U584" s="30">
        <v>18626</v>
      </c>
    </row>
    <row r="585" spans="20:21" x14ac:dyDescent="0.35">
      <c r="T585" s="30">
        <v>1162</v>
      </c>
      <c r="U585" s="30">
        <v>18668.5</v>
      </c>
    </row>
    <row r="586" spans="20:21" x14ac:dyDescent="0.35">
      <c r="T586" s="30">
        <v>1164</v>
      </c>
      <c r="U586" s="30">
        <v>18711</v>
      </c>
    </row>
    <row r="587" spans="20:21" x14ac:dyDescent="0.35">
      <c r="T587" s="30">
        <v>1166</v>
      </c>
      <c r="U587" s="30">
        <v>18754</v>
      </c>
    </row>
    <row r="588" spans="20:21" x14ac:dyDescent="0.35">
      <c r="T588" s="30">
        <v>1168</v>
      </c>
      <c r="U588" s="30">
        <v>18797</v>
      </c>
    </row>
    <row r="589" spans="20:21" x14ac:dyDescent="0.35">
      <c r="T589" s="30">
        <v>1170</v>
      </c>
      <c r="U589" s="30">
        <v>18839.5</v>
      </c>
    </row>
    <row r="590" spans="20:21" x14ac:dyDescent="0.35">
      <c r="T590" s="30">
        <v>1172</v>
      </c>
      <c r="U590" s="30">
        <v>18882</v>
      </c>
    </row>
    <row r="591" spans="20:21" x14ac:dyDescent="0.35">
      <c r="T591" s="30">
        <v>1174</v>
      </c>
      <c r="U591" s="30">
        <v>18924.5</v>
      </c>
    </row>
    <row r="592" spans="20:21" x14ac:dyDescent="0.35">
      <c r="T592" s="30">
        <v>1176</v>
      </c>
      <c r="U592" s="30">
        <v>18967</v>
      </c>
    </row>
    <row r="593" spans="20:21" x14ac:dyDescent="0.35">
      <c r="T593" s="30">
        <v>1178</v>
      </c>
      <c r="U593" s="30">
        <v>19009.5</v>
      </c>
    </row>
    <row r="594" spans="20:21" x14ac:dyDescent="0.35">
      <c r="T594" s="30">
        <v>1180</v>
      </c>
      <c r="U594" s="30">
        <v>19052</v>
      </c>
    </row>
    <row r="595" spans="20:21" x14ac:dyDescent="0.35">
      <c r="T595" s="30">
        <v>1182</v>
      </c>
      <c r="U595" s="30">
        <v>19094.5</v>
      </c>
    </row>
    <row r="596" spans="20:21" x14ac:dyDescent="0.35">
      <c r="T596" s="30">
        <v>1184</v>
      </c>
      <c r="U596" s="30">
        <v>19137</v>
      </c>
    </row>
    <row r="597" spans="20:21" x14ac:dyDescent="0.35">
      <c r="T597" s="30">
        <v>1186</v>
      </c>
      <c r="U597" s="30">
        <v>19180</v>
      </c>
    </row>
    <row r="598" spans="20:21" x14ac:dyDescent="0.35">
      <c r="T598" s="30">
        <v>1188</v>
      </c>
      <c r="U598" s="30">
        <v>19223</v>
      </c>
    </row>
    <row r="599" spans="20:21" x14ac:dyDescent="0.35">
      <c r="T599" s="30">
        <v>1190</v>
      </c>
      <c r="U599" s="30">
        <v>19266</v>
      </c>
    </row>
    <row r="600" spans="20:21" x14ac:dyDescent="0.35">
      <c r="T600" s="30">
        <v>1192</v>
      </c>
      <c r="U600" s="30">
        <v>19309</v>
      </c>
    </row>
    <row r="601" spans="20:21" x14ac:dyDescent="0.35">
      <c r="T601" s="30">
        <v>1194</v>
      </c>
      <c r="U601" s="30">
        <v>19351</v>
      </c>
    </row>
    <row r="602" spans="20:21" x14ac:dyDescent="0.35">
      <c r="T602" s="30">
        <v>1196</v>
      </c>
      <c r="U602" s="30">
        <v>19393</v>
      </c>
    </row>
    <row r="603" spans="20:21" x14ac:dyDescent="0.35">
      <c r="T603" s="30">
        <v>1198</v>
      </c>
      <c r="U603" s="30">
        <v>19436</v>
      </c>
    </row>
    <row r="604" spans="20:21" x14ac:dyDescent="0.35">
      <c r="T604" s="30">
        <v>1200</v>
      </c>
      <c r="U604" s="30">
        <v>19479</v>
      </c>
    </row>
    <row r="605" spans="20:21" x14ac:dyDescent="0.35">
      <c r="T605" s="30">
        <v>1202</v>
      </c>
      <c r="U605" s="30">
        <v>19521.5</v>
      </c>
    </row>
    <row r="606" spans="20:21" x14ac:dyDescent="0.35">
      <c r="T606" s="30">
        <v>1204</v>
      </c>
      <c r="U606" s="30">
        <v>19564</v>
      </c>
    </row>
    <row r="607" spans="20:21" x14ac:dyDescent="0.35">
      <c r="T607" s="30">
        <v>1206</v>
      </c>
      <c r="U607" s="30">
        <v>19606.5</v>
      </c>
    </row>
    <row r="608" spans="20:21" x14ac:dyDescent="0.35">
      <c r="T608" s="30">
        <v>1208</v>
      </c>
      <c r="U608" s="30">
        <v>19649</v>
      </c>
    </row>
    <row r="609" spans="20:21" x14ac:dyDescent="0.35">
      <c r="T609" s="30">
        <v>1210</v>
      </c>
      <c r="U609" s="30">
        <v>19692</v>
      </c>
    </row>
    <row r="610" spans="20:21" x14ac:dyDescent="0.35">
      <c r="T610" s="30">
        <v>1212</v>
      </c>
      <c r="U610" s="30">
        <v>19735</v>
      </c>
    </row>
    <row r="611" spans="20:21" x14ac:dyDescent="0.35">
      <c r="T611" s="30">
        <v>1214</v>
      </c>
      <c r="U611" s="30">
        <v>19777.5</v>
      </c>
    </row>
    <row r="612" spans="20:21" x14ac:dyDescent="0.35">
      <c r="T612" s="30">
        <v>1216</v>
      </c>
      <c r="U612" s="30">
        <v>19820</v>
      </c>
    </row>
    <row r="613" spans="20:21" x14ac:dyDescent="0.35">
      <c r="T613" s="30">
        <v>1218</v>
      </c>
      <c r="U613" s="30">
        <v>19863</v>
      </c>
    </row>
    <row r="614" spans="20:21" x14ac:dyDescent="0.35">
      <c r="T614" s="30">
        <v>1220</v>
      </c>
      <c r="U614" s="30">
        <v>19906</v>
      </c>
    </row>
    <row r="615" spans="20:21" x14ac:dyDescent="0.35">
      <c r="T615" s="30">
        <v>1222</v>
      </c>
      <c r="U615" s="30">
        <v>19948.5</v>
      </c>
    </row>
    <row r="616" spans="20:21" x14ac:dyDescent="0.35">
      <c r="T616" s="30">
        <v>1224</v>
      </c>
      <c r="U616" s="30">
        <v>19991</v>
      </c>
    </row>
    <row r="617" spans="20:21" x14ac:dyDescent="0.35">
      <c r="T617" s="30">
        <v>1226</v>
      </c>
      <c r="U617" s="30">
        <v>20034</v>
      </c>
    </row>
    <row r="618" spans="20:21" x14ac:dyDescent="0.35">
      <c r="T618" s="30">
        <v>1228</v>
      </c>
      <c r="U618" s="30">
        <v>20077</v>
      </c>
    </row>
    <row r="619" spans="20:21" x14ac:dyDescent="0.35">
      <c r="T619" s="30">
        <v>1230</v>
      </c>
      <c r="U619" s="30">
        <v>20120</v>
      </c>
    </row>
    <row r="620" spans="20:21" x14ac:dyDescent="0.35">
      <c r="T620" s="30">
        <v>1232</v>
      </c>
      <c r="U620" s="30">
        <v>20163</v>
      </c>
    </row>
    <row r="621" spans="20:21" x14ac:dyDescent="0.35">
      <c r="T621" s="30">
        <v>1234</v>
      </c>
      <c r="U621" s="30">
        <v>20205.5</v>
      </c>
    </row>
    <row r="622" spans="20:21" x14ac:dyDescent="0.35">
      <c r="T622" s="30">
        <v>1236</v>
      </c>
      <c r="U622" s="30">
        <v>20248</v>
      </c>
    </row>
    <row r="623" spans="20:21" x14ac:dyDescent="0.35">
      <c r="T623" s="30">
        <v>1238</v>
      </c>
      <c r="U623" s="30">
        <v>20291</v>
      </c>
    </row>
    <row r="624" spans="20:21" x14ac:dyDescent="0.35">
      <c r="T624" s="30">
        <v>1240</v>
      </c>
      <c r="U624" s="30">
        <v>20334</v>
      </c>
    </row>
    <row r="625" spans="20:21" x14ac:dyDescent="0.35">
      <c r="T625" s="30">
        <v>1242</v>
      </c>
      <c r="U625" s="30">
        <v>20377</v>
      </c>
    </row>
    <row r="626" spans="20:21" x14ac:dyDescent="0.35">
      <c r="T626" s="30">
        <v>1244</v>
      </c>
      <c r="U626" s="30">
        <v>20420</v>
      </c>
    </row>
    <row r="627" spans="20:21" x14ac:dyDescent="0.35">
      <c r="T627" s="30">
        <v>1246</v>
      </c>
      <c r="U627" s="30">
        <v>20462.5</v>
      </c>
    </row>
    <row r="628" spans="20:21" x14ac:dyDescent="0.35">
      <c r="T628" s="30">
        <v>1248</v>
      </c>
      <c r="U628" s="30">
        <v>20505</v>
      </c>
    </row>
    <row r="629" spans="20:21" x14ac:dyDescent="0.35">
      <c r="T629" s="30">
        <v>1250</v>
      </c>
      <c r="U629" s="30">
        <v>20548</v>
      </c>
    </row>
    <row r="630" spans="20:21" x14ac:dyDescent="0.35">
      <c r="T630" s="30">
        <v>1252</v>
      </c>
      <c r="U630" s="30">
        <v>20591</v>
      </c>
    </row>
    <row r="631" spans="20:21" x14ac:dyDescent="0.35">
      <c r="T631" s="30">
        <v>1254</v>
      </c>
      <c r="U631" s="30">
        <v>20634</v>
      </c>
    </row>
    <row r="632" spans="20:21" x14ac:dyDescent="0.35">
      <c r="T632" s="30">
        <v>1256</v>
      </c>
      <c r="U632" s="30">
        <v>20677</v>
      </c>
    </row>
    <row r="633" spans="20:21" x14ac:dyDescent="0.35">
      <c r="T633" s="30">
        <v>1258</v>
      </c>
      <c r="U633" s="30">
        <v>20719.5</v>
      </c>
    </row>
    <row r="634" spans="20:21" x14ac:dyDescent="0.35">
      <c r="T634" s="30">
        <v>1260</v>
      </c>
      <c r="U634" s="30">
        <v>20762</v>
      </c>
    </row>
    <row r="635" spans="20:21" x14ac:dyDescent="0.35">
      <c r="T635" s="30">
        <v>1262</v>
      </c>
      <c r="U635" s="30">
        <v>20805</v>
      </c>
    </row>
    <row r="636" spans="20:21" x14ac:dyDescent="0.35">
      <c r="T636" s="30">
        <v>1264</v>
      </c>
      <c r="U636" s="30">
        <v>20848</v>
      </c>
    </row>
    <row r="637" spans="20:21" x14ac:dyDescent="0.35">
      <c r="T637" s="30">
        <v>1266</v>
      </c>
      <c r="U637" s="30">
        <v>20891</v>
      </c>
    </row>
    <row r="638" spans="20:21" x14ac:dyDescent="0.35">
      <c r="T638" s="30">
        <v>1268</v>
      </c>
      <c r="U638" s="30">
        <v>20934</v>
      </c>
    </row>
    <row r="639" spans="20:21" x14ac:dyDescent="0.35">
      <c r="T639" s="30">
        <v>1270</v>
      </c>
      <c r="U639" s="30">
        <v>20977</v>
      </c>
    </row>
    <row r="640" spans="20:21" x14ac:dyDescent="0.35">
      <c r="T640" s="30">
        <v>1272</v>
      </c>
      <c r="U640" s="30">
        <v>21020</v>
      </c>
    </row>
    <row r="641" spans="20:21" x14ac:dyDescent="0.35">
      <c r="T641" s="30">
        <v>1274</v>
      </c>
      <c r="U641" s="30">
        <v>21063</v>
      </c>
    </row>
    <row r="642" spans="20:21" x14ac:dyDescent="0.35">
      <c r="T642" s="30">
        <v>1276</v>
      </c>
      <c r="U642" s="30">
        <v>21106</v>
      </c>
    </row>
    <row r="643" spans="20:21" x14ac:dyDescent="0.35">
      <c r="T643" s="30">
        <v>1278</v>
      </c>
      <c r="U643" s="30">
        <v>21148.5</v>
      </c>
    </row>
    <row r="644" spans="20:21" x14ac:dyDescent="0.35">
      <c r="T644" s="30">
        <v>1280</v>
      </c>
      <c r="U644" s="30">
        <v>21191</v>
      </c>
    </row>
    <row r="645" spans="20:21" x14ac:dyDescent="0.35">
      <c r="T645" s="30">
        <v>1282</v>
      </c>
      <c r="U645" s="30">
        <v>21234</v>
      </c>
    </row>
    <row r="646" spans="20:21" x14ac:dyDescent="0.35">
      <c r="T646" s="30">
        <v>1284</v>
      </c>
      <c r="U646" s="30">
        <v>21277</v>
      </c>
    </row>
    <row r="647" spans="20:21" x14ac:dyDescent="0.35">
      <c r="T647" s="30">
        <v>1286</v>
      </c>
      <c r="U647" s="30">
        <v>21320</v>
      </c>
    </row>
    <row r="648" spans="20:21" x14ac:dyDescent="0.35">
      <c r="T648" s="30">
        <v>1288</v>
      </c>
      <c r="U648" s="30">
        <v>21363</v>
      </c>
    </row>
    <row r="649" spans="20:21" x14ac:dyDescent="0.35">
      <c r="T649" s="30">
        <v>1290</v>
      </c>
      <c r="U649" s="30">
        <v>21406</v>
      </c>
    </row>
    <row r="650" spans="20:21" x14ac:dyDescent="0.35">
      <c r="T650" s="30">
        <v>1292</v>
      </c>
      <c r="U650" s="30">
        <v>21449</v>
      </c>
    </row>
    <row r="651" spans="20:21" x14ac:dyDescent="0.35">
      <c r="T651" s="30">
        <v>1294</v>
      </c>
      <c r="U651" s="30">
        <v>21492</v>
      </c>
    </row>
    <row r="652" spans="20:21" x14ac:dyDescent="0.35">
      <c r="T652" s="30">
        <v>1296</v>
      </c>
      <c r="U652" s="30">
        <v>21535</v>
      </c>
    </row>
    <row r="653" spans="20:21" x14ac:dyDescent="0.35">
      <c r="T653" s="30">
        <v>1298</v>
      </c>
      <c r="U653" s="30">
        <v>21578</v>
      </c>
    </row>
    <row r="654" spans="20:21" x14ac:dyDescent="0.35">
      <c r="T654" s="30">
        <v>1300</v>
      </c>
      <c r="U654" s="30">
        <v>21621</v>
      </c>
    </row>
    <row r="655" spans="20:21" x14ac:dyDescent="0.35">
      <c r="T655" s="30">
        <v>1302</v>
      </c>
      <c r="U655" s="30">
        <v>21664</v>
      </c>
    </row>
    <row r="656" spans="20:21" x14ac:dyDescent="0.35">
      <c r="T656" s="30">
        <v>1304</v>
      </c>
      <c r="U656" s="30">
        <v>21707</v>
      </c>
    </row>
    <row r="657" spans="20:21" x14ac:dyDescent="0.35">
      <c r="T657" s="30">
        <v>1306</v>
      </c>
      <c r="U657" s="30">
        <v>21750</v>
      </c>
    </row>
    <row r="658" spans="20:21" x14ac:dyDescent="0.35">
      <c r="T658" s="30">
        <v>1308</v>
      </c>
      <c r="U658" s="30">
        <v>21793</v>
      </c>
    </row>
    <row r="659" spans="20:21" x14ac:dyDescent="0.35">
      <c r="T659" s="30">
        <v>1310</v>
      </c>
      <c r="U659" s="30">
        <v>21836</v>
      </c>
    </row>
    <row r="660" spans="20:21" x14ac:dyDescent="0.35">
      <c r="T660" s="30">
        <v>1312</v>
      </c>
      <c r="U660" s="30">
        <v>21879</v>
      </c>
    </row>
    <row r="661" spans="20:21" x14ac:dyDescent="0.35">
      <c r="T661" s="30">
        <v>1314</v>
      </c>
      <c r="U661" s="30">
        <v>21922</v>
      </c>
    </row>
    <row r="662" spans="20:21" x14ac:dyDescent="0.35">
      <c r="T662" s="30">
        <v>1316</v>
      </c>
      <c r="U662" s="30">
        <v>21965</v>
      </c>
    </row>
    <row r="663" spans="20:21" x14ac:dyDescent="0.35">
      <c r="T663" s="30">
        <v>1318</v>
      </c>
      <c r="U663" s="30">
        <v>22008</v>
      </c>
    </row>
    <row r="664" spans="20:21" x14ac:dyDescent="0.35">
      <c r="T664" s="30">
        <v>1320</v>
      </c>
      <c r="U664" s="30">
        <v>22051</v>
      </c>
    </row>
    <row r="665" spans="20:21" x14ac:dyDescent="0.35">
      <c r="T665" s="30">
        <v>1322</v>
      </c>
      <c r="U665" s="30">
        <v>22094</v>
      </c>
    </row>
    <row r="666" spans="20:21" x14ac:dyDescent="0.35">
      <c r="T666" s="30">
        <v>1324</v>
      </c>
      <c r="U666" s="30">
        <v>22137</v>
      </c>
    </row>
    <row r="667" spans="20:21" x14ac:dyDescent="0.35">
      <c r="T667" s="30">
        <v>1326</v>
      </c>
      <c r="U667" s="30">
        <v>22180</v>
      </c>
    </row>
    <row r="668" spans="20:21" x14ac:dyDescent="0.35">
      <c r="T668" s="30">
        <v>1328</v>
      </c>
      <c r="U668" s="30">
        <v>22223</v>
      </c>
    </row>
    <row r="669" spans="20:21" x14ac:dyDescent="0.35">
      <c r="T669" s="30">
        <v>1330</v>
      </c>
      <c r="U669" s="30">
        <v>22266</v>
      </c>
    </row>
    <row r="670" spans="20:21" x14ac:dyDescent="0.35">
      <c r="T670" s="30">
        <v>1332</v>
      </c>
      <c r="U670" s="30">
        <v>22309</v>
      </c>
    </row>
    <row r="671" spans="20:21" x14ac:dyDescent="0.35">
      <c r="T671" s="30">
        <v>1334</v>
      </c>
      <c r="U671" s="30">
        <v>22352</v>
      </c>
    </row>
    <row r="672" spans="20:21" x14ac:dyDescent="0.35">
      <c r="T672" s="30">
        <v>1336</v>
      </c>
      <c r="U672" s="30">
        <v>22395</v>
      </c>
    </row>
    <row r="673" spans="20:21" x14ac:dyDescent="0.35">
      <c r="T673" s="30">
        <v>1338</v>
      </c>
      <c r="U673" s="30">
        <v>22438</v>
      </c>
    </row>
    <row r="674" spans="20:21" x14ac:dyDescent="0.35">
      <c r="T674" s="30">
        <v>1340</v>
      </c>
      <c r="U674" s="30">
        <v>22481</v>
      </c>
    </row>
    <row r="675" spans="20:21" x14ac:dyDescent="0.35">
      <c r="T675" s="30">
        <v>1342</v>
      </c>
      <c r="U675" s="30">
        <v>22524</v>
      </c>
    </row>
    <row r="676" spans="20:21" x14ac:dyDescent="0.35">
      <c r="T676" s="30">
        <v>1344</v>
      </c>
      <c r="U676" s="30">
        <v>22567</v>
      </c>
    </row>
    <row r="677" spans="20:21" x14ac:dyDescent="0.35">
      <c r="T677" s="30">
        <v>1346</v>
      </c>
      <c r="U677" s="30">
        <v>22610</v>
      </c>
    </row>
    <row r="678" spans="20:21" x14ac:dyDescent="0.35">
      <c r="T678" s="30">
        <v>1348</v>
      </c>
      <c r="U678" s="30">
        <v>22653</v>
      </c>
    </row>
    <row r="679" spans="20:21" x14ac:dyDescent="0.35">
      <c r="T679" s="30">
        <v>1350</v>
      </c>
      <c r="U679" s="30">
        <v>22696</v>
      </c>
    </row>
    <row r="680" spans="20:21" x14ac:dyDescent="0.35">
      <c r="T680" s="30">
        <v>1352</v>
      </c>
      <c r="U680" s="30">
        <v>22739</v>
      </c>
    </row>
    <row r="681" spans="20:21" x14ac:dyDescent="0.35">
      <c r="T681" s="30">
        <v>1354</v>
      </c>
      <c r="U681" s="30">
        <v>22782</v>
      </c>
    </row>
    <row r="682" spans="20:21" x14ac:dyDescent="0.35">
      <c r="T682" s="30">
        <v>1356</v>
      </c>
      <c r="U682" s="30">
        <v>22825</v>
      </c>
    </row>
    <row r="683" spans="20:21" x14ac:dyDescent="0.35">
      <c r="T683" s="30">
        <v>1358</v>
      </c>
      <c r="U683" s="30">
        <v>22868</v>
      </c>
    </row>
    <row r="684" spans="20:21" x14ac:dyDescent="0.35">
      <c r="T684" s="30">
        <v>1360</v>
      </c>
      <c r="U684" s="30">
        <v>22911</v>
      </c>
    </row>
    <row r="685" spans="20:21" x14ac:dyDescent="0.35">
      <c r="T685" s="30">
        <v>1362</v>
      </c>
      <c r="U685" s="30">
        <v>22954</v>
      </c>
    </row>
    <row r="686" spans="20:21" x14ac:dyDescent="0.35">
      <c r="T686" s="30">
        <v>1364</v>
      </c>
      <c r="U686" s="30">
        <v>22997</v>
      </c>
    </row>
    <row r="687" spans="20:21" x14ac:dyDescent="0.35">
      <c r="T687" s="30">
        <v>1366</v>
      </c>
      <c r="U687" s="30">
        <v>23040</v>
      </c>
    </row>
    <row r="688" spans="20:21" x14ac:dyDescent="0.35">
      <c r="T688" s="30">
        <v>1368</v>
      </c>
      <c r="U688" s="30">
        <v>23083</v>
      </c>
    </row>
    <row r="689" spans="20:21" x14ac:dyDescent="0.35">
      <c r="T689" s="30">
        <v>1370</v>
      </c>
      <c r="U689" s="30">
        <v>23126</v>
      </c>
    </row>
    <row r="690" spans="20:21" x14ac:dyDescent="0.35">
      <c r="T690" s="30">
        <v>1372</v>
      </c>
      <c r="U690" s="30">
        <v>23169</v>
      </c>
    </row>
    <row r="691" spans="20:21" x14ac:dyDescent="0.35">
      <c r="T691" s="30">
        <v>1374</v>
      </c>
      <c r="U691" s="30">
        <v>23212</v>
      </c>
    </row>
    <row r="692" spans="20:21" x14ac:dyDescent="0.35">
      <c r="T692" s="30">
        <v>1376</v>
      </c>
      <c r="U692" s="30">
        <v>23255</v>
      </c>
    </row>
    <row r="693" spans="20:21" x14ac:dyDescent="0.35">
      <c r="T693" s="30">
        <v>1378</v>
      </c>
      <c r="U693" s="30">
        <v>23298</v>
      </c>
    </row>
    <row r="694" spans="20:21" x14ac:dyDescent="0.35">
      <c r="T694" s="30">
        <v>1380</v>
      </c>
      <c r="U694" s="30">
        <v>23341</v>
      </c>
    </row>
    <row r="695" spans="20:21" x14ac:dyDescent="0.35">
      <c r="T695" s="30">
        <v>1382</v>
      </c>
      <c r="U695" s="30">
        <v>23384</v>
      </c>
    </row>
    <row r="696" spans="20:21" x14ac:dyDescent="0.35">
      <c r="T696" s="30">
        <v>1384</v>
      </c>
      <c r="U696" s="30">
        <v>23427</v>
      </c>
    </row>
    <row r="697" spans="20:21" x14ac:dyDescent="0.35">
      <c r="T697" s="30">
        <v>1386</v>
      </c>
      <c r="U697" s="30">
        <v>23470</v>
      </c>
    </row>
    <row r="698" spans="20:21" x14ac:dyDescent="0.35">
      <c r="T698" s="30">
        <v>1388</v>
      </c>
      <c r="U698" s="30">
        <v>23513</v>
      </c>
    </row>
    <row r="699" spans="20:21" x14ac:dyDescent="0.35">
      <c r="T699" s="30">
        <v>1390</v>
      </c>
      <c r="U699" s="30">
        <v>23556</v>
      </c>
    </row>
    <row r="700" spans="20:21" x14ac:dyDescent="0.35">
      <c r="T700" s="30">
        <v>1392</v>
      </c>
      <c r="U700" s="30">
        <v>23599</v>
      </c>
    </row>
    <row r="701" spans="20:21" x14ac:dyDescent="0.35">
      <c r="T701" s="30">
        <v>1394</v>
      </c>
      <c r="U701" s="30">
        <v>23642</v>
      </c>
    </row>
    <row r="702" spans="20:21" x14ac:dyDescent="0.35">
      <c r="T702" s="30">
        <v>1396</v>
      </c>
      <c r="U702" s="30">
        <v>23685</v>
      </c>
    </row>
    <row r="703" spans="20:21" x14ac:dyDescent="0.35">
      <c r="T703" s="30">
        <v>1398</v>
      </c>
      <c r="U703" s="30">
        <v>23728</v>
      </c>
    </row>
    <row r="704" spans="20:21" x14ac:dyDescent="0.35">
      <c r="T704" s="30">
        <v>1400</v>
      </c>
      <c r="U704" s="30">
        <v>23771</v>
      </c>
    </row>
    <row r="705" spans="20:21" x14ac:dyDescent="0.35">
      <c r="T705" s="30">
        <v>1402</v>
      </c>
      <c r="U705" s="30">
        <v>23814</v>
      </c>
    </row>
    <row r="706" spans="20:21" x14ac:dyDescent="0.35">
      <c r="T706" s="30">
        <v>1404</v>
      </c>
      <c r="U706" s="30">
        <v>23857</v>
      </c>
    </row>
    <row r="707" spans="20:21" x14ac:dyDescent="0.35">
      <c r="T707" s="30">
        <v>1406</v>
      </c>
      <c r="U707" s="30">
        <v>23900</v>
      </c>
    </row>
    <row r="708" spans="20:21" x14ac:dyDescent="0.35">
      <c r="T708" s="30">
        <v>1408</v>
      </c>
      <c r="U708" s="30">
        <v>23943</v>
      </c>
    </row>
    <row r="709" spans="20:21" x14ac:dyDescent="0.35">
      <c r="T709" s="30">
        <v>1410</v>
      </c>
      <c r="U709" s="30">
        <v>23986</v>
      </c>
    </row>
    <row r="710" spans="20:21" x14ac:dyDescent="0.35">
      <c r="T710" s="30">
        <v>1412</v>
      </c>
      <c r="U710" s="30">
        <v>24029</v>
      </c>
    </row>
    <row r="711" spans="20:21" x14ac:dyDescent="0.35">
      <c r="T711" s="30">
        <v>1414</v>
      </c>
      <c r="U711" s="30">
        <v>24072</v>
      </c>
    </row>
    <row r="712" spans="20:21" x14ac:dyDescent="0.35">
      <c r="T712" s="30">
        <v>1416</v>
      </c>
      <c r="U712" s="30">
        <v>24115</v>
      </c>
    </row>
    <row r="713" spans="20:21" x14ac:dyDescent="0.35">
      <c r="T713" s="30">
        <v>1418</v>
      </c>
      <c r="U713" s="30">
        <v>24158</v>
      </c>
    </row>
    <row r="714" spans="20:21" x14ac:dyDescent="0.35">
      <c r="T714" s="30">
        <v>1420</v>
      </c>
      <c r="U714" s="30">
        <v>24201</v>
      </c>
    </row>
    <row r="715" spans="20:21" x14ac:dyDescent="0.35">
      <c r="T715" s="30">
        <v>1422</v>
      </c>
      <c r="U715" s="30">
        <v>24243.5</v>
      </c>
    </row>
    <row r="716" spans="20:21" x14ac:dyDescent="0.35">
      <c r="T716" s="30">
        <v>1424</v>
      </c>
      <c r="U716" s="30">
        <v>24286</v>
      </c>
    </row>
    <row r="717" spans="20:21" x14ac:dyDescent="0.35">
      <c r="T717" s="30">
        <v>1426</v>
      </c>
      <c r="U717" s="30">
        <v>24329</v>
      </c>
    </row>
    <row r="718" spans="20:21" x14ac:dyDescent="0.35">
      <c r="T718" s="30">
        <v>1428</v>
      </c>
      <c r="U718" s="30">
        <v>24372</v>
      </c>
    </row>
    <row r="719" spans="20:21" x14ac:dyDescent="0.35">
      <c r="T719" s="30">
        <v>1430</v>
      </c>
      <c r="U719" s="30">
        <v>24415</v>
      </c>
    </row>
    <row r="720" spans="20:21" x14ac:dyDescent="0.35">
      <c r="T720" s="30">
        <v>1432</v>
      </c>
      <c r="U720" s="30">
        <v>24458</v>
      </c>
    </row>
    <row r="721" spans="20:21" x14ac:dyDescent="0.35">
      <c r="T721" s="30">
        <v>1434</v>
      </c>
      <c r="U721" s="30">
        <v>24501</v>
      </c>
    </row>
    <row r="722" spans="20:21" x14ac:dyDescent="0.35">
      <c r="T722" s="30">
        <v>1436</v>
      </c>
      <c r="U722" s="30">
        <v>24544</v>
      </c>
    </row>
    <row r="723" spans="20:21" x14ac:dyDescent="0.35">
      <c r="T723" s="30">
        <v>1438</v>
      </c>
      <c r="U723" s="30">
        <v>24587</v>
      </c>
    </row>
    <row r="724" spans="20:21" x14ac:dyDescent="0.35">
      <c r="T724" s="30">
        <v>1440</v>
      </c>
      <c r="U724" s="30">
        <v>24630</v>
      </c>
    </row>
    <row r="725" spans="20:21" x14ac:dyDescent="0.35">
      <c r="T725" s="30">
        <v>1442</v>
      </c>
      <c r="U725" s="30">
        <v>24673</v>
      </c>
    </row>
    <row r="726" spans="20:21" x14ac:dyDescent="0.35">
      <c r="T726" s="30">
        <v>1444</v>
      </c>
      <c r="U726" s="30">
        <v>24716</v>
      </c>
    </row>
    <row r="727" spans="20:21" x14ac:dyDescent="0.35">
      <c r="T727" s="30">
        <v>1446</v>
      </c>
      <c r="U727" s="30">
        <v>24759</v>
      </c>
    </row>
    <row r="728" spans="20:21" x14ac:dyDescent="0.35">
      <c r="T728" s="30">
        <v>1448</v>
      </c>
      <c r="U728" s="30">
        <v>24802</v>
      </c>
    </row>
    <row r="729" spans="20:21" x14ac:dyDescent="0.35">
      <c r="T729" s="30">
        <v>1450</v>
      </c>
      <c r="U729" s="30">
        <v>24845</v>
      </c>
    </row>
    <row r="730" spans="20:21" x14ac:dyDescent="0.35">
      <c r="T730" s="30">
        <v>1452</v>
      </c>
      <c r="U730" s="30">
        <v>24888</v>
      </c>
    </row>
    <row r="731" spans="20:21" x14ac:dyDescent="0.35">
      <c r="T731" s="30">
        <v>1454</v>
      </c>
      <c r="U731" s="30">
        <v>24931</v>
      </c>
    </row>
    <row r="732" spans="20:21" x14ac:dyDescent="0.35">
      <c r="T732" s="30">
        <v>1456</v>
      </c>
      <c r="U732" s="30">
        <v>24974</v>
      </c>
    </row>
    <row r="733" spans="20:21" x14ac:dyDescent="0.35">
      <c r="T733" s="30">
        <v>1458</v>
      </c>
      <c r="U733" s="30">
        <v>25016.5</v>
      </c>
    </row>
    <row r="734" spans="20:21" x14ac:dyDescent="0.35">
      <c r="T734" s="30">
        <v>1460</v>
      </c>
      <c r="U734" s="30">
        <v>25059</v>
      </c>
    </row>
    <row r="735" spans="20:21" x14ac:dyDescent="0.35">
      <c r="T735" s="30">
        <v>1462</v>
      </c>
      <c r="U735" s="30">
        <v>25102</v>
      </c>
    </row>
    <row r="736" spans="20:21" x14ac:dyDescent="0.35">
      <c r="T736" s="30">
        <v>1464</v>
      </c>
      <c r="U736" s="30">
        <v>25145</v>
      </c>
    </row>
    <row r="737" spans="20:21" x14ac:dyDescent="0.35">
      <c r="T737" s="30">
        <v>1466</v>
      </c>
      <c r="U737" s="30">
        <v>25188</v>
      </c>
    </row>
    <row r="738" spans="20:21" x14ac:dyDescent="0.35">
      <c r="T738" s="30">
        <v>1468</v>
      </c>
      <c r="U738" s="30">
        <v>25231</v>
      </c>
    </row>
    <row r="739" spans="20:21" x14ac:dyDescent="0.35">
      <c r="T739" s="30">
        <v>1470</v>
      </c>
      <c r="U739" s="30">
        <v>25274</v>
      </c>
    </row>
    <row r="740" spans="20:21" x14ac:dyDescent="0.35">
      <c r="T740" s="30">
        <v>1472</v>
      </c>
      <c r="U740" s="30">
        <v>25317</v>
      </c>
    </row>
    <row r="741" spans="20:21" x14ac:dyDescent="0.35">
      <c r="T741" s="30">
        <v>1474</v>
      </c>
      <c r="U741" s="30">
        <v>25359.5</v>
      </c>
    </row>
    <row r="742" spans="20:21" x14ac:dyDescent="0.35">
      <c r="T742" s="30">
        <v>1476</v>
      </c>
      <c r="U742" s="30">
        <v>25402</v>
      </c>
    </row>
    <row r="743" spans="20:21" x14ac:dyDescent="0.35">
      <c r="T743" s="30">
        <v>1478</v>
      </c>
      <c r="U743" s="30">
        <v>25445</v>
      </c>
    </row>
    <row r="744" spans="20:21" x14ac:dyDescent="0.35">
      <c r="T744" s="30">
        <v>1480</v>
      </c>
      <c r="U744" s="30">
        <v>25488</v>
      </c>
    </row>
    <row r="745" spans="20:21" x14ac:dyDescent="0.35">
      <c r="T745" s="30">
        <v>1482</v>
      </c>
      <c r="U745" s="30">
        <v>25531</v>
      </c>
    </row>
    <row r="746" spans="20:21" x14ac:dyDescent="0.35">
      <c r="T746" s="30">
        <v>1484</v>
      </c>
      <c r="U746" s="30">
        <v>25574</v>
      </c>
    </row>
    <row r="747" spans="20:21" x14ac:dyDescent="0.35">
      <c r="T747" s="30">
        <v>1486</v>
      </c>
      <c r="U747" s="30">
        <v>25616.5</v>
      </c>
    </row>
    <row r="748" spans="20:21" x14ac:dyDescent="0.35">
      <c r="T748" s="30">
        <v>1488</v>
      </c>
      <c r="U748" s="30">
        <v>25659</v>
      </c>
    </row>
    <row r="749" spans="20:21" x14ac:dyDescent="0.35">
      <c r="T749" s="30">
        <v>1490</v>
      </c>
      <c r="U749" s="30">
        <v>25702</v>
      </c>
    </row>
    <row r="750" spans="20:21" x14ac:dyDescent="0.35">
      <c r="T750" s="30">
        <v>1492</v>
      </c>
      <c r="U750" s="30">
        <v>25745</v>
      </c>
    </row>
    <row r="751" spans="20:21" x14ac:dyDescent="0.35">
      <c r="T751" s="30">
        <v>1494</v>
      </c>
      <c r="U751" s="30">
        <v>25788</v>
      </c>
    </row>
    <row r="752" spans="20:21" x14ac:dyDescent="0.35">
      <c r="T752" s="30">
        <v>1496</v>
      </c>
      <c r="U752" s="30">
        <v>25831</v>
      </c>
    </row>
    <row r="753" spans="20:21" x14ac:dyDescent="0.35">
      <c r="T753" s="30">
        <v>1498</v>
      </c>
      <c r="U753" s="30">
        <v>25873.5</v>
      </c>
    </row>
    <row r="754" spans="20:21" x14ac:dyDescent="0.35">
      <c r="T754" s="30">
        <v>1500</v>
      </c>
      <c r="U754" s="30">
        <v>25916</v>
      </c>
    </row>
    <row r="755" spans="20:21" x14ac:dyDescent="0.35">
      <c r="T755" s="30">
        <v>1502</v>
      </c>
      <c r="U755" s="30">
        <v>25959</v>
      </c>
    </row>
    <row r="756" spans="20:21" x14ac:dyDescent="0.35">
      <c r="T756" s="30">
        <v>1504</v>
      </c>
      <c r="U756" s="30">
        <v>26002</v>
      </c>
    </row>
    <row r="757" spans="20:21" x14ac:dyDescent="0.35">
      <c r="T757" s="30">
        <v>1506</v>
      </c>
      <c r="U757" s="30">
        <v>26044.5</v>
      </c>
    </row>
    <row r="758" spans="20:21" x14ac:dyDescent="0.35">
      <c r="T758" s="30">
        <v>1508</v>
      </c>
      <c r="U758" s="30">
        <v>26087</v>
      </c>
    </row>
    <row r="759" spans="20:21" x14ac:dyDescent="0.35">
      <c r="T759" s="30">
        <v>1510</v>
      </c>
      <c r="U759" s="30">
        <v>26130</v>
      </c>
    </row>
    <row r="760" spans="20:21" x14ac:dyDescent="0.35">
      <c r="T760" s="30">
        <v>1512</v>
      </c>
      <c r="U760" s="30">
        <v>26173</v>
      </c>
    </row>
    <row r="761" spans="20:21" x14ac:dyDescent="0.35">
      <c r="T761" s="30">
        <v>1514</v>
      </c>
      <c r="U761" s="30">
        <v>26215.5</v>
      </c>
    </row>
    <row r="762" spans="20:21" x14ac:dyDescent="0.35">
      <c r="T762" s="30">
        <v>1516</v>
      </c>
      <c r="U762" s="30">
        <v>26258</v>
      </c>
    </row>
    <row r="763" spans="20:21" x14ac:dyDescent="0.35">
      <c r="T763" s="30">
        <v>1518</v>
      </c>
      <c r="U763" s="30">
        <v>26301</v>
      </c>
    </row>
    <row r="764" spans="20:21" x14ac:dyDescent="0.35">
      <c r="T764" s="30">
        <v>1520</v>
      </c>
      <c r="U764" s="30">
        <v>26344</v>
      </c>
    </row>
    <row r="765" spans="20:21" x14ac:dyDescent="0.35">
      <c r="T765" s="30">
        <v>1522</v>
      </c>
      <c r="U765" s="30">
        <v>26386.5</v>
      </c>
    </row>
    <row r="766" spans="20:21" x14ac:dyDescent="0.35">
      <c r="T766" s="30">
        <v>1524</v>
      </c>
      <c r="U766" s="30">
        <v>26429</v>
      </c>
    </row>
    <row r="767" spans="20:21" x14ac:dyDescent="0.35">
      <c r="T767" s="30">
        <v>1526</v>
      </c>
      <c r="U767" s="30">
        <v>26472</v>
      </c>
    </row>
    <row r="768" spans="20:21" x14ac:dyDescent="0.35">
      <c r="T768" s="30">
        <v>1528</v>
      </c>
      <c r="U768" s="30">
        <v>26515</v>
      </c>
    </row>
    <row r="769" spans="20:21" x14ac:dyDescent="0.35">
      <c r="T769" s="30">
        <v>1530</v>
      </c>
      <c r="U769" s="30">
        <v>26557.5</v>
      </c>
    </row>
    <row r="770" spans="20:21" x14ac:dyDescent="0.35">
      <c r="T770" s="30">
        <v>1532</v>
      </c>
      <c r="U770" s="30">
        <v>26600</v>
      </c>
    </row>
    <row r="771" spans="20:21" x14ac:dyDescent="0.35">
      <c r="T771" s="30">
        <v>1534</v>
      </c>
      <c r="U771" s="30">
        <v>26642.5</v>
      </c>
    </row>
    <row r="772" spans="20:21" x14ac:dyDescent="0.35">
      <c r="T772" s="30">
        <v>1536</v>
      </c>
      <c r="U772" s="30">
        <v>26685</v>
      </c>
    </row>
    <row r="773" spans="20:21" x14ac:dyDescent="0.35">
      <c r="T773" s="30">
        <v>1538</v>
      </c>
      <c r="U773" s="30">
        <v>26728</v>
      </c>
    </row>
    <row r="774" spans="20:21" x14ac:dyDescent="0.35">
      <c r="T774" s="30">
        <v>1540</v>
      </c>
      <c r="U774" s="30">
        <v>26771</v>
      </c>
    </row>
    <row r="775" spans="20:21" x14ac:dyDescent="0.35">
      <c r="T775" s="30">
        <v>1542</v>
      </c>
      <c r="U775" s="30">
        <v>26813.5</v>
      </c>
    </row>
    <row r="776" spans="20:21" x14ac:dyDescent="0.35">
      <c r="T776" s="30">
        <v>1544</v>
      </c>
      <c r="U776" s="30">
        <v>26856</v>
      </c>
    </row>
    <row r="777" spans="20:21" x14ac:dyDescent="0.35">
      <c r="T777" s="30">
        <v>1546</v>
      </c>
      <c r="U777" s="30">
        <v>26898.5</v>
      </c>
    </row>
    <row r="778" spans="20:21" x14ac:dyDescent="0.35">
      <c r="T778" s="30">
        <v>1548</v>
      </c>
      <c r="U778" s="30">
        <v>26941</v>
      </c>
    </row>
    <row r="779" spans="20:21" x14ac:dyDescent="0.35">
      <c r="T779" s="30">
        <v>1550</v>
      </c>
      <c r="U779" s="30">
        <v>26983.5</v>
      </c>
    </row>
    <row r="780" spans="20:21" x14ac:dyDescent="0.35">
      <c r="T780" s="30">
        <v>1552</v>
      </c>
      <c r="U780" s="30">
        <v>27026</v>
      </c>
    </row>
    <row r="781" spans="20:21" x14ac:dyDescent="0.35">
      <c r="T781" s="30">
        <v>1554</v>
      </c>
      <c r="U781" s="30">
        <v>27069</v>
      </c>
    </row>
    <row r="782" spans="20:21" x14ac:dyDescent="0.35">
      <c r="T782" s="30">
        <v>1556</v>
      </c>
      <c r="U782" s="30">
        <v>27112</v>
      </c>
    </row>
    <row r="783" spans="20:21" x14ac:dyDescent="0.35">
      <c r="T783" s="30">
        <v>1558</v>
      </c>
      <c r="U783" s="30">
        <v>27154.5</v>
      </c>
    </row>
    <row r="784" spans="20:21" x14ac:dyDescent="0.35">
      <c r="T784" s="30">
        <v>1560</v>
      </c>
      <c r="U784" s="30">
        <v>27197</v>
      </c>
    </row>
    <row r="785" spans="20:21" x14ac:dyDescent="0.35">
      <c r="T785" s="30">
        <v>1562</v>
      </c>
      <c r="U785" s="30">
        <v>27239.5</v>
      </c>
    </row>
    <row r="786" spans="20:21" x14ac:dyDescent="0.35">
      <c r="T786" s="30">
        <v>1564</v>
      </c>
      <c r="U786" s="30">
        <v>27282</v>
      </c>
    </row>
    <row r="787" spans="20:21" x14ac:dyDescent="0.35">
      <c r="T787" s="30">
        <v>1566</v>
      </c>
      <c r="U787" s="30">
        <v>27324.5</v>
      </c>
    </row>
    <row r="788" spans="20:21" x14ac:dyDescent="0.35">
      <c r="T788" s="30">
        <v>1568</v>
      </c>
      <c r="U788" s="30">
        <v>27367</v>
      </c>
    </row>
    <row r="789" spans="20:21" x14ac:dyDescent="0.35">
      <c r="T789" s="30">
        <v>1570</v>
      </c>
      <c r="U789" s="30">
        <v>27409.5</v>
      </c>
    </row>
    <row r="790" spans="20:21" x14ac:dyDescent="0.35">
      <c r="T790" s="30">
        <v>1572</v>
      </c>
      <c r="U790" s="30">
        <v>27452</v>
      </c>
    </row>
    <row r="791" spans="20:21" x14ac:dyDescent="0.35">
      <c r="T791" s="30">
        <v>1574</v>
      </c>
      <c r="U791" s="30">
        <v>27494.5</v>
      </c>
    </row>
    <row r="792" spans="20:21" x14ac:dyDescent="0.35">
      <c r="T792" s="30">
        <v>1576</v>
      </c>
      <c r="U792" s="30">
        <v>27537</v>
      </c>
    </row>
    <row r="793" spans="20:21" x14ac:dyDescent="0.35">
      <c r="T793" s="30">
        <v>1578</v>
      </c>
      <c r="U793" s="30">
        <v>27579.5</v>
      </c>
    </row>
    <row r="794" spans="20:21" x14ac:dyDescent="0.35">
      <c r="T794" s="30">
        <v>1580</v>
      </c>
      <c r="U794" s="30">
        <v>27622</v>
      </c>
    </row>
    <row r="795" spans="20:21" x14ac:dyDescent="0.35">
      <c r="T795" s="30">
        <v>1582</v>
      </c>
      <c r="U795" s="30">
        <v>27664.5</v>
      </c>
    </row>
    <row r="796" spans="20:21" x14ac:dyDescent="0.35">
      <c r="T796" s="30">
        <v>1584</v>
      </c>
      <c r="U796" s="30">
        <v>27707</v>
      </c>
    </row>
    <row r="797" spans="20:21" x14ac:dyDescent="0.35">
      <c r="T797" s="30">
        <v>1586</v>
      </c>
      <c r="U797" s="30">
        <v>27749.5</v>
      </c>
    </row>
    <row r="798" spans="20:21" x14ac:dyDescent="0.35">
      <c r="T798" s="30">
        <v>1588</v>
      </c>
      <c r="U798" s="30">
        <v>27792</v>
      </c>
    </row>
    <row r="799" spans="20:21" x14ac:dyDescent="0.35">
      <c r="T799" s="30">
        <v>1590</v>
      </c>
      <c r="U799" s="30">
        <v>27834</v>
      </c>
    </row>
    <row r="800" spans="20:21" x14ac:dyDescent="0.35">
      <c r="T800" s="30">
        <v>1592</v>
      </c>
      <c r="U800" s="30">
        <v>27876</v>
      </c>
    </row>
    <row r="801" spans="20:21" x14ac:dyDescent="0.35">
      <c r="T801" s="30">
        <v>1594</v>
      </c>
      <c r="U801" s="30">
        <v>27918.5</v>
      </c>
    </row>
    <row r="802" spans="20:21" x14ac:dyDescent="0.35">
      <c r="T802" s="30">
        <v>1596</v>
      </c>
      <c r="U802" s="30">
        <v>27961</v>
      </c>
    </row>
    <row r="803" spans="20:21" x14ac:dyDescent="0.35">
      <c r="T803" s="30">
        <v>1598</v>
      </c>
      <c r="U803" s="30">
        <v>28003.5</v>
      </c>
    </row>
    <row r="804" spans="20:21" x14ac:dyDescent="0.35">
      <c r="T804" s="30">
        <v>1600</v>
      </c>
      <c r="U804" s="30">
        <v>28046</v>
      </c>
    </row>
    <row r="805" spans="20:21" x14ac:dyDescent="0.35">
      <c r="T805" s="30">
        <v>1602</v>
      </c>
      <c r="U805" s="30">
        <v>28088.5</v>
      </c>
    </row>
    <row r="806" spans="20:21" x14ac:dyDescent="0.35">
      <c r="T806" s="30">
        <v>1604</v>
      </c>
      <c r="U806" s="30">
        <v>28131</v>
      </c>
    </row>
    <row r="807" spans="20:21" x14ac:dyDescent="0.35">
      <c r="T807" s="30">
        <v>1606</v>
      </c>
      <c r="U807" s="30">
        <v>28173</v>
      </c>
    </row>
    <row r="808" spans="20:21" x14ac:dyDescent="0.35">
      <c r="T808" s="30">
        <v>1608</v>
      </c>
      <c r="U808" s="30">
        <v>28215</v>
      </c>
    </row>
    <row r="809" spans="20:21" x14ac:dyDescent="0.35">
      <c r="T809" s="30">
        <v>1610</v>
      </c>
      <c r="U809" s="30">
        <v>28257.5</v>
      </c>
    </row>
    <row r="810" spans="20:21" x14ac:dyDescent="0.35">
      <c r="T810" s="30">
        <v>1612</v>
      </c>
      <c r="U810" s="30">
        <v>28300</v>
      </c>
    </row>
    <row r="811" spans="20:21" x14ac:dyDescent="0.35">
      <c r="T811" s="30">
        <v>1614</v>
      </c>
      <c r="U811" s="30">
        <v>28342</v>
      </c>
    </row>
    <row r="812" spans="20:21" x14ac:dyDescent="0.35">
      <c r="T812" s="30">
        <v>1616</v>
      </c>
      <c r="U812" s="30">
        <v>28384</v>
      </c>
    </row>
    <row r="813" spans="20:21" x14ac:dyDescent="0.35">
      <c r="T813" s="30">
        <v>1618</v>
      </c>
      <c r="U813" s="30">
        <v>28426.5</v>
      </c>
    </row>
    <row r="814" spans="20:21" x14ac:dyDescent="0.35">
      <c r="T814" s="30">
        <v>1620</v>
      </c>
      <c r="U814" s="30">
        <v>28469</v>
      </c>
    </row>
    <row r="815" spans="20:21" x14ac:dyDescent="0.35">
      <c r="T815" s="30">
        <v>1622</v>
      </c>
      <c r="U815" s="30">
        <v>28511</v>
      </c>
    </row>
    <row r="816" spans="20:21" x14ac:dyDescent="0.35">
      <c r="T816" s="30">
        <v>1624</v>
      </c>
      <c r="U816" s="30">
        <v>28553</v>
      </c>
    </row>
    <row r="817" spans="20:21" x14ac:dyDescent="0.35">
      <c r="T817" s="30">
        <v>1626</v>
      </c>
      <c r="U817" s="30">
        <v>28595.5</v>
      </c>
    </row>
    <row r="818" spans="20:21" x14ac:dyDescent="0.35">
      <c r="T818" s="30">
        <v>1628</v>
      </c>
      <c r="U818" s="30">
        <v>28638</v>
      </c>
    </row>
    <row r="819" spans="20:21" x14ac:dyDescent="0.35">
      <c r="T819" s="30">
        <v>1630</v>
      </c>
      <c r="U819" s="30">
        <v>28680</v>
      </c>
    </row>
    <row r="820" spans="20:21" x14ac:dyDescent="0.35">
      <c r="T820" s="30">
        <v>1632</v>
      </c>
      <c r="U820" s="30">
        <v>28722</v>
      </c>
    </row>
    <row r="821" spans="20:21" x14ac:dyDescent="0.35">
      <c r="T821" s="30">
        <v>1634</v>
      </c>
      <c r="U821" s="30">
        <v>28764</v>
      </c>
    </row>
    <row r="822" spans="20:21" x14ac:dyDescent="0.35">
      <c r="T822" s="30">
        <v>1636</v>
      </c>
      <c r="U822" s="30">
        <v>28806</v>
      </c>
    </row>
    <row r="823" spans="20:21" x14ac:dyDescent="0.35">
      <c r="T823" s="30">
        <v>1638</v>
      </c>
      <c r="U823" s="30">
        <v>28848.5</v>
      </c>
    </row>
    <row r="824" spans="20:21" x14ac:dyDescent="0.35">
      <c r="T824" s="30">
        <v>1640</v>
      </c>
      <c r="U824" s="30">
        <v>28891</v>
      </c>
    </row>
    <row r="825" spans="20:21" x14ac:dyDescent="0.35">
      <c r="T825" s="30">
        <v>1642</v>
      </c>
      <c r="U825" s="30">
        <v>28933</v>
      </c>
    </row>
    <row r="826" spans="20:21" x14ac:dyDescent="0.35">
      <c r="T826" s="30">
        <v>1644</v>
      </c>
      <c r="U826" s="30">
        <v>28975</v>
      </c>
    </row>
    <row r="827" spans="20:21" x14ac:dyDescent="0.35">
      <c r="T827" s="30">
        <v>1646</v>
      </c>
      <c r="U827" s="30">
        <v>29017</v>
      </c>
    </row>
    <row r="828" spans="20:21" x14ac:dyDescent="0.35">
      <c r="T828" s="30">
        <v>1648</v>
      </c>
      <c r="U828" s="30">
        <v>29059</v>
      </c>
    </row>
    <row r="829" spans="20:21" x14ac:dyDescent="0.35">
      <c r="T829" s="30">
        <v>1650</v>
      </c>
      <c r="U829" s="30">
        <v>29101</v>
      </c>
    </row>
    <row r="830" spans="20:21" x14ac:dyDescent="0.35">
      <c r="T830" s="30">
        <v>1652</v>
      </c>
      <c r="U830" s="30">
        <v>29143</v>
      </c>
    </row>
    <row r="831" spans="20:21" x14ac:dyDescent="0.35">
      <c r="T831" s="30">
        <v>1654</v>
      </c>
      <c r="U831" s="30">
        <v>29185</v>
      </c>
    </row>
    <row r="832" spans="20:21" x14ac:dyDescent="0.35">
      <c r="T832" s="30">
        <v>1656</v>
      </c>
      <c r="U832" s="30">
        <v>29227</v>
      </c>
    </row>
    <row r="833" spans="20:21" x14ac:dyDescent="0.35">
      <c r="T833" s="30">
        <v>1658</v>
      </c>
      <c r="U833" s="30">
        <v>29269</v>
      </c>
    </row>
    <row r="834" spans="20:21" x14ac:dyDescent="0.35">
      <c r="T834" s="30">
        <v>1660</v>
      </c>
      <c r="U834" s="30">
        <v>29311</v>
      </c>
    </row>
    <row r="835" spans="20:21" x14ac:dyDescent="0.35">
      <c r="T835" s="30">
        <v>1662</v>
      </c>
      <c r="U835" s="30">
        <v>29352</v>
      </c>
    </row>
    <row r="836" spans="20:21" x14ac:dyDescent="0.35">
      <c r="T836" s="30">
        <v>1664</v>
      </c>
      <c r="U836" s="30">
        <v>29393</v>
      </c>
    </row>
    <row r="837" spans="20:21" x14ac:dyDescent="0.35">
      <c r="T837" s="30">
        <v>1666</v>
      </c>
      <c r="U837" s="30">
        <v>29436</v>
      </c>
    </row>
    <row r="838" spans="20:21" x14ac:dyDescent="0.35">
      <c r="T838" s="30">
        <v>1668</v>
      </c>
      <c r="U838" s="30">
        <v>29479</v>
      </c>
    </row>
    <row r="839" spans="20:21" x14ac:dyDescent="0.35">
      <c r="T839" s="30">
        <v>1670</v>
      </c>
      <c r="U839" s="30">
        <v>29520.5</v>
      </c>
    </row>
    <row r="840" spans="20:21" x14ac:dyDescent="0.35">
      <c r="T840" s="30">
        <v>1672</v>
      </c>
      <c r="U840" s="30">
        <v>29562</v>
      </c>
    </row>
    <row r="841" spans="20:21" x14ac:dyDescent="0.35">
      <c r="T841" s="30">
        <v>1674</v>
      </c>
      <c r="U841" s="30">
        <v>29604</v>
      </c>
    </row>
    <row r="842" spans="20:21" x14ac:dyDescent="0.35">
      <c r="T842" s="30">
        <v>1676</v>
      </c>
      <c r="U842" s="30">
        <v>29646</v>
      </c>
    </row>
    <row r="843" spans="20:21" x14ac:dyDescent="0.35">
      <c r="T843" s="30">
        <v>1678</v>
      </c>
      <c r="U843" s="30">
        <v>29688</v>
      </c>
    </row>
    <row r="844" spans="20:21" x14ac:dyDescent="0.35">
      <c r="T844" s="30">
        <v>1680</v>
      </c>
      <c r="U844" s="30">
        <v>29730</v>
      </c>
    </row>
    <row r="845" spans="20:21" x14ac:dyDescent="0.35">
      <c r="T845" s="30">
        <v>1682</v>
      </c>
      <c r="U845" s="30">
        <v>29772</v>
      </c>
    </row>
    <row r="846" spans="20:21" x14ac:dyDescent="0.35">
      <c r="T846" s="30">
        <v>1684</v>
      </c>
      <c r="U846" s="30">
        <v>29814</v>
      </c>
    </row>
    <row r="847" spans="20:21" x14ac:dyDescent="0.35">
      <c r="T847" s="30">
        <v>1686</v>
      </c>
      <c r="U847" s="30">
        <v>29855.5</v>
      </c>
    </row>
    <row r="848" spans="20:21" x14ac:dyDescent="0.35">
      <c r="T848" s="30">
        <v>1688</v>
      </c>
      <c r="U848" s="30">
        <v>29897</v>
      </c>
    </row>
    <row r="849" spans="20:21" x14ac:dyDescent="0.35">
      <c r="T849" s="30">
        <v>1690</v>
      </c>
      <c r="U849" s="30">
        <v>29938.5</v>
      </c>
    </row>
    <row r="850" spans="20:21" x14ac:dyDescent="0.35">
      <c r="T850" s="30">
        <v>1692</v>
      </c>
      <c r="U850" s="30">
        <v>29980</v>
      </c>
    </row>
    <row r="851" spans="20:21" x14ac:dyDescent="0.35">
      <c r="T851" s="30">
        <v>1694</v>
      </c>
      <c r="U851" s="30">
        <v>30020</v>
      </c>
    </row>
    <row r="852" spans="20:21" x14ac:dyDescent="0.35">
      <c r="T852" s="30">
        <v>1696</v>
      </c>
      <c r="U852" s="30">
        <v>30060</v>
      </c>
    </row>
    <row r="853" spans="20:21" x14ac:dyDescent="0.35">
      <c r="T853" s="30">
        <v>1698</v>
      </c>
      <c r="U853" s="30">
        <v>30103.5</v>
      </c>
    </row>
    <row r="854" spans="20:21" x14ac:dyDescent="0.35">
      <c r="T854" s="30">
        <v>1700</v>
      </c>
      <c r="U854" s="30">
        <v>30147</v>
      </c>
    </row>
    <row r="855" spans="20:21" x14ac:dyDescent="0.35">
      <c r="T855" s="30">
        <v>1702</v>
      </c>
      <c r="U855" s="30">
        <v>30189</v>
      </c>
    </row>
    <row r="856" spans="20:21" x14ac:dyDescent="0.35">
      <c r="T856" s="30">
        <v>1704</v>
      </c>
      <c r="U856" s="30">
        <v>30231</v>
      </c>
    </row>
    <row r="857" spans="20:21" x14ac:dyDescent="0.35">
      <c r="T857" s="30">
        <v>1706</v>
      </c>
      <c r="U857" s="30">
        <v>30272.5</v>
      </c>
    </row>
    <row r="858" spans="20:21" x14ac:dyDescent="0.35">
      <c r="T858" s="30">
        <v>1708</v>
      </c>
      <c r="U858" s="30">
        <v>30314</v>
      </c>
    </row>
    <row r="859" spans="20:21" x14ac:dyDescent="0.35">
      <c r="T859" s="30">
        <v>1710</v>
      </c>
      <c r="U859" s="30">
        <v>30355.5</v>
      </c>
    </row>
    <row r="860" spans="20:21" x14ac:dyDescent="0.35">
      <c r="T860" s="30">
        <v>1712</v>
      </c>
      <c r="U860" s="30">
        <v>30397</v>
      </c>
    </row>
    <row r="861" spans="20:21" x14ac:dyDescent="0.35">
      <c r="T861" s="30">
        <v>1714</v>
      </c>
      <c r="U861" s="30">
        <v>30438.5</v>
      </c>
    </row>
    <row r="862" spans="20:21" x14ac:dyDescent="0.35">
      <c r="T862" s="30">
        <v>1716</v>
      </c>
      <c r="U862" s="30">
        <v>30480</v>
      </c>
    </row>
    <row r="863" spans="20:21" x14ac:dyDescent="0.35">
      <c r="T863" s="30">
        <v>1718</v>
      </c>
      <c r="U863" s="30">
        <v>30521.5</v>
      </c>
    </row>
    <row r="864" spans="20:21" x14ac:dyDescent="0.35">
      <c r="T864" s="30">
        <v>1720</v>
      </c>
      <c r="U864" s="30">
        <v>30563</v>
      </c>
    </row>
    <row r="865" spans="20:21" x14ac:dyDescent="0.35">
      <c r="T865" s="30">
        <v>1722</v>
      </c>
      <c r="U865" s="30">
        <v>30604.5</v>
      </c>
    </row>
    <row r="866" spans="20:21" x14ac:dyDescent="0.35">
      <c r="T866" s="30">
        <v>1724</v>
      </c>
      <c r="U866" s="30">
        <v>30646</v>
      </c>
    </row>
    <row r="867" spans="20:21" x14ac:dyDescent="0.35">
      <c r="T867" s="30">
        <v>1726</v>
      </c>
      <c r="U867" s="30">
        <v>30687.5</v>
      </c>
    </row>
    <row r="868" spans="20:21" x14ac:dyDescent="0.35">
      <c r="T868" s="30">
        <v>1728</v>
      </c>
      <c r="U868" s="30">
        <v>30729</v>
      </c>
    </row>
    <row r="869" spans="20:21" x14ac:dyDescent="0.35">
      <c r="T869" s="30">
        <v>1730</v>
      </c>
      <c r="U869" s="30">
        <v>30770.5</v>
      </c>
    </row>
    <row r="870" spans="20:21" x14ac:dyDescent="0.35">
      <c r="T870" s="30">
        <v>1732</v>
      </c>
      <c r="U870" s="30">
        <v>30812</v>
      </c>
    </row>
    <row r="871" spans="20:21" x14ac:dyDescent="0.35">
      <c r="T871" s="30">
        <v>1734</v>
      </c>
      <c r="U871" s="30">
        <v>30853.5</v>
      </c>
    </row>
    <row r="872" spans="20:21" x14ac:dyDescent="0.35">
      <c r="T872" s="30">
        <v>1736</v>
      </c>
      <c r="U872" s="30">
        <v>30895</v>
      </c>
    </row>
    <row r="873" spans="20:21" x14ac:dyDescent="0.35">
      <c r="T873" s="30">
        <v>1738</v>
      </c>
      <c r="U873" s="30">
        <v>30936</v>
      </c>
    </row>
    <row r="874" spans="20:21" x14ac:dyDescent="0.35">
      <c r="T874" s="30">
        <v>1740</v>
      </c>
      <c r="U874" s="30">
        <v>30977</v>
      </c>
    </row>
    <row r="875" spans="20:21" x14ac:dyDescent="0.35">
      <c r="T875" s="30">
        <v>1742</v>
      </c>
      <c r="U875" s="30">
        <v>31018.5</v>
      </c>
    </row>
    <row r="876" spans="20:21" x14ac:dyDescent="0.35">
      <c r="T876" s="30">
        <v>1744</v>
      </c>
      <c r="U876" s="30">
        <v>31060</v>
      </c>
    </row>
    <row r="877" spans="20:21" x14ac:dyDescent="0.35">
      <c r="T877" s="30">
        <v>1746</v>
      </c>
      <c r="U877" s="30">
        <v>31101</v>
      </c>
    </row>
    <row r="878" spans="20:21" x14ac:dyDescent="0.35">
      <c r="T878" s="30">
        <v>1748</v>
      </c>
      <c r="U878" s="30">
        <v>31142</v>
      </c>
    </row>
    <row r="879" spans="20:21" x14ac:dyDescent="0.35">
      <c r="T879" s="30">
        <v>1750</v>
      </c>
      <c r="U879" s="30">
        <v>31183.5</v>
      </c>
    </row>
    <row r="880" spans="20:21" x14ac:dyDescent="0.35">
      <c r="T880" s="30">
        <v>1752</v>
      </c>
      <c r="U880" s="30">
        <v>31225</v>
      </c>
    </row>
    <row r="881" spans="20:21" x14ac:dyDescent="0.35">
      <c r="T881" s="30">
        <v>1754</v>
      </c>
      <c r="U881" s="30">
        <v>31266</v>
      </c>
    </row>
    <row r="882" spans="20:21" x14ac:dyDescent="0.35">
      <c r="T882" s="30">
        <v>1756</v>
      </c>
      <c r="U882" s="30">
        <v>31307</v>
      </c>
    </row>
    <row r="883" spans="20:21" x14ac:dyDescent="0.35">
      <c r="T883" s="30">
        <v>1758</v>
      </c>
      <c r="U883" s="30">
        <v>31348.5</v>
      </c>
    </row>
    <row r="884" spans="20:21" x14ac:dyDescent="0.35">
      <c r="T884" s="30">
        <v>1760</v>
      </c>
      <c r="U884" s="30">
        <v>31390</v>
      </c>
    </row>
    <row r="885" spans="20:21" x14ac:dyDescent="0.35">
      <c r="T885" s="30">
        <v>1762</v>
      </c>
      <c r="U885" s="30">
        <v>31431</v>
      </c>
    </row>
    <row r="886" spans="20:21" x14ac:dyDescent="0.35">
      <c r="T886" s="30">
        <v>1764</v>
      </c>
      <c r="U886" s="30">
        <v>31472</v>
      </c>
    </row>
    <row r="887" spans="20:21" x14ac:dyDescent="0.35">
      <c r="T887" s="30">
        <v>1766</v>
      </c>
      <c r="U887" s="30">
        <v>31513</v>
      </c>
    </row>
    <row r="888" spans="20:21" x14ac:dyDescent="0.35">
      <c r="T888" s="30">
        <v>1768</v>
      </c>
      <c r="U888" s="30">
        <v>31554</v>
      </c>
    </row>
    <row r="889" spans="20:21" x14ac:dyDescent="0.35">
      <c r="T889" s="30">
        <v>1770</v>
      </c>
      <c r="U889" s="30">
        <v>31595</v>
      </c>
    </row>
    <row r="890" spans="20:21" x14ac:dyDescent="0.35">
      <c r="T890" s="30">
        <v>1772</v>
      </c>
      <c r="U890" s="30">
        <v>31636</v>
      </c>
    </row>
    <row r="891" spans="20:21" x14ac:dyDescent="0.35">
      <c r="T891" s="30">
        <v>1774</v>
      </c>
      <c r="U891" s="30">
        <v>31677</v>
      </c>
    </row>
    <row r="892" spans="20:21" x14ac:dyDescent="0.35">
      <c r="T892" s="30">
        <v>1776</v>
      </c>
      <c r="U892" s="30">
        <v>31718</v>
      </c>
    </row>
    <row r="893" spans="20:21" x14ac:dyDescent="0.35">
      <c r="T893" s="30">
        <v>1778</v>
      </c>
      <c r="U893" s="30">
        <v>31759</v>
      </c>
    </row>
    <row r="894" spans="20:21" x14ac:dyDescent="0.35">
      <c r="T894" s="30">
        <v>1780</v>
      </c>
      <c r="U894" s="30">
        <v>31800</v>
      </c>
    </row>
    <row r="895" spans="20:21" x14ac:dyDescent="0.35">
      <c r="T895" s="30">
        <v>1782</v>
      </c>
      <c r="U895" s="30">
        <v>31841</v>
      </c>
    </row>
    <row r="896" spans="20:21" x14ac:dyDescent="0.35">
      <c r="T896" s="30">
        <v>1784</v>
      </c>
      <c r="U896" s="30">
        <v>31882</v>
      </c>
    </row>
    <row r="897" spans="20:21" x14ac:dyDescent="0.35">
      <c r="T897" s="30">
        <v>1786</v>
      </c>
      <c r="U897" s="30">
        <v>31923</v>
      </c>
    </row>
    <row r="898" spans="20:21" x14ac:dyDescent="0.35">
      <c r="T898" s="30">
        <v>1788</v>
      </c>
      <c r="U898" s="30">
        <v>31964</v>
      </c>
    </row>
    <row r="899" spans="20:21" x14ac:dyDescent="0.35">
      <c r="T899" s="30">
        <v>1790</v>
      </c>
      <c r="U899" s="30">
        <v>32004.5</v>
      </c>
    </row>
    <row r="900" spans="20:21" x14ac:dyDescent="0.35">
      <c r="T900" s="30">
        <v>1792</v>
      </c>
      <c r="U900" s="30">
        <v>32045</v>
      </c>
    </row>
    <row r="901" spans="20:21" x14ac:dyDescent="0.35">
      <c r="T901" s="30">
        <v>1794</v>
      </c>
      <c r="U901" s="30">
        <v>32086</v>
      </c>
    </row>
    <row r="902" spans="20:21" x14ac:dyDescent="0.35">
      <c r="T902" s="30">
        <v>1796</v>
      </c>
      <c r="U902" s="30">
        <v>32127</v>
      </c>
    </row>
    <row r="903" spans="20:21" x14ac:dyDescent="0.35">
      <c r="T903" s="30">
        <v>1798</v>
      </c>
      <c r="U903" s="30">
        <v>32167.5</v>
      </c>
    </row>
    <row r="904" spans="20:21" x14ac:dyDescent="0.35">
      <c r="T904" s="30">
        <v>1800</v>
      </c>
      <c r="U904" s="30">
        <v>32208</v>
      </c>
    </row>
    <row r="905" spans="20:21" x14ac:dyDescent="0.35">
      <c r="T905" s="30">
        <v>1802</v>
      </c>
      <c r="U905" s="30">
        <v>32249</v>
      </c>
    </row>
    <row r="906" spans="20:21" x14ac:dyDescent="0.35">
      <c r="T906" s="30">
        <v>1804</v>
      </c>
      <c r="U906" s="30">
        <v>32290</v>
      </c>
    </row>
    <row r="907" spans="20:21" x14ac:dyDescent="0.35">
      <c r="T907" s="30">
        <v>1806</v>
      </c>
      <c r="U907" s="30">
        <v>32330.5</v>
      </c>
    </row>
    <row r="908" spans="20:21" x14ac:dyDescent="0.35">
      <c r="T908" s="30">
        <v>1808</v>
      </c>
      <c r="U908" s="30">
        <v>32371</v>
      </c>
    </row>
    <row r="909" spans="20:21" x14ac:dyDescent="0.35">
      <c r="T909" s="30">
        <v>1810</v>
      </c>
      <c r="U909" s="30">
        <v>32411.5</v>
      </c>
    </row>
    <row r="910" spans="20:21" x14ac:dyDescent="0.35">
      <c r="T910" s="30">
        <v>1812</v>
      </c>
      <c r="U910" s="30">
        <v>32452</v>
      </c>
    </row>
    <row r="911" spans="20:21" x14ac:dyDescent="0.35">
      <c r="T911" s="30">
        <v>1814</v>
      </c>
      <c r="U911" s="30">
        <v>32492.5</v>
      </c>
    </row>
    <row r="912" spans="20:21" x14ac:dyDescent="0.35">
      <c r="T912" s="30">
        <v>1816</v>
      </c>
      <c r="U912" s="30">
        <v>32533</v>
      </c>
    </row>
    <row r="913" spans="20:21" x14ac:dyDescent="0.35">
      <c r="T913" s="30">
        <v>1818</v>
      </c>
      <c r="U913" s="30">
        <v>32573.5</v>
      </c>
    </row>
    <row r="914" spans="20:21" x14ac:dyDescent="0.35">
      <c r="T914" s="30">
        <v>1820</v>
      </c>
      <c r="U914" s="30">
        <v>32614</v>
      </c>
    </row>
    <row r="915" spans="20:21" x14ac:dyDescent="0.35">
      <c r="T915" s="30">
        <v>1822</v>
      </c>
      <c r="U915" s="30">
        <v>32654.5</v>
      </c>
    </row>
    <row r="916" spans="20:21" x14ac:dyDescent="0.35">
      <c r="T916" s="30">
        <v>1824</v>
      </c>
      <c r="U916" s="30">
        <v>32695</v>
      </c>
    </row>
    <row r="917" spans="20:21" x14ac:dyDescent="0.35">
      <c r="T917" s="30">
        <v>1826</v>
      </c>
      <c r="U917" s="30">
        <v>32735.5</v>
      </c>
    </row>
    <row r="918" spans="20:21" x14ac:dyDescent="0.35">
      <c r="T918" s="30">
        <v>1828</v>
      </c>
      <c r="U918" s="30">
        <v>32776</v>
      </c>
    </row>
    <row r="919" spans="20:21" x14ac:dyDescent="0.35">
      <c r="T919" s="30">
        <v>1830</v>
      </c>
      <c r="U919" s="30">
        <v>32816.5</v>
      </c>
    </row>
    <row r="920" spans="20:21" x14ac:dyDescent="0.35">
      <c r="T920" s="30">
        <v>1832</v>
      </c>
      <c r="U920" s="30">
        <v>32857</v>
      </c>
    </row>
    <row r="921" spans="20:21" x14ac:dyDescent="0.35">
      <c r="T921" s="30">
        <v>1834</v>
      </c>
      <c r="U921" s="30">
        <v>32897.5</v>
      </c>
    </row>
    <row r="922" spans="20:21" x14ac:dyDescent="0.35">
      <c r="T922" s="30">
        <v>1836</v>
      </c>
      <c r="U922" s="30">
        <v>32938</v>
      </c>
    </row>
    <row r="923" spans="20:21" x14ac:dyDescent="0.35">
      <c r="T923" s="30">
        <v>1838</v>
      </c>
      <c r="U923" s="30">
        <v>32978</v>
      </c>
    </row>
    <row r="924" spans="20:21" x14ac:dyDescent="0.35">
      <c r="T924" s="30">
        <v>1840</v>
      </c>
      <c r="U924" s="30">
        <v>33018</v>
      </c>
    </row>
    <row r="925" spans="20:21" x14ac:dyDescent="0.35">
      <c r="T925" s="30">
        <v>1842</v>
      </c>
      <c r="U925" s="30">
        <v>33058.5</v>
      </c>
    </row>
    <row r="926" spans="20:21" x14ac:dyDescent="0.35">
      <c r="T926" s="30">
        <v>1844</v>
      </c>
      <c r="U926" s="30">
        <v>33099</v>
      </c>
    </row>
    <row r="927" spans="20:21" x14ac:dyDescent="0.35">
      <c r="T927" s="30">
        <v>1846</v>
      </c>
      <c r="U927" s="30">
        <v>33139</v>
      </c>
    </row>
    <row r="928" spans="20:21" x14ac:dyDescent="0.35">
      <c r="T928" s="30">
        <v>1848</v>
      </c>
      <c r="U928" s="30">
        <v>33179</v>
      </c>
    </row>
    <row r="929" spans="20:21" x14ac:dyDescent="0.35">
      <c r="T929" s="30">
        <v>1850</v>
      </c>
      <c r="U929" s="30">
        <v>33219.5</v>
      </c>
    </row>
    <row r="930" spans="20:21" x14ac:dyDescent="0.35">
      <c r="T930" s="30">
        <v>1852</v>
      </c>
      <c r="U930" s="30">
        <v>33260</v>
      </c>
    </row>
    <row r="931" spans="20:21" x14ac:dyDescent="0.35">
      <c r="T931" s="30">
        <v>1854</v>
      </c>
      <c r="U931" s="30">
        <v>33300</v>
      </c>
    </row>
    <row r="932" spans="20:21" x14ac:dyDescent="0.35">
      <c r="T932" s="30">
        <v>1856</v>
      </c>
      <c r="U932" s="30">
        <v>33340</v>
      </c>
    </row>
    <row r="933" spans="20:21" x14ac:dyDescent="0.35">
      <c r="T933" s="30">
        <v>1858</v>
      </c>
      <c r="U933" s="30">
        <v>33380</v>
      </c>
    </row>
    <row r="934" spans="20:21" x14ac:dyDescent="0.35">
      <c r="T934" s="30">
        <v>1860</v>
      </c>
      <c r="U934" s="30">
        <v>33420</v>
      </c>
    </row>
    <row r="935" spans="20:21" x14ac:dyDescent="0.35">
      <c r="T935" s="30">
        <v>1862</v>
      </c>
      <c r="U935" s="30">
        <v>33460</v>
      </c>
    </row>
    <row r="936" spans="20:21" x14ac:dyDescent="0.35">
      <c r="T936" s="30">
        <v>1864</v>
      </c>
      <c r="U936" s="30">
        <v>33500</v>
      </c>
    </row>
    <row r="937" spans="20:21" x14ac:dyDescent="0.35">
      <c r="T937" s="30">
        <v>1866</v>
      </c>
      <c r="U937" s="30">
        <v>33540</v>
      </c>
    </row>
    <row r="938" spans="20:21" x14ac:dyDescent="0.35">
      <c r="T938" s="30">
        <v>1868</v>
      </c>
      <c r="U938" s="30">
        <v>33580</v>
      </c>
    </row>
    <row r="939" spans="20:21" x14ac:dyDescent="0.35">
      <c r="T939" s="30">
        <v>1870</v>
      </c>
      <c r="U939" s="30">
        <v>33620</v>
      </c>
    </row>
    <row r="940" spans="20:21" x14ac:dyDescent="0.35">
      <c r="T940" s="30">
        <v>1872</v>
      </c>
      <c r="U940" s="30">
        <v>33660</v>
      </c>
    </row>
    <row r="941" spans="20:21" x14ac:dyDescent="0.35">
      <c r="T941" s="30">
        <v>1874</v>
      </c>
      <c r="U941" s="30">
        <v>33699.5</v>
      </c>
    </row>
    <row r="942" spans="20:21" x14ac:dyDescent="0.35">
      <c r="T942" s="30">
        <v>1876</v>
      </c>
      <c r="U942" s="30">
        <v>33739</v>
      </c>
    </row>
    <row r="943" spans="20:21" x14ac:dyDescent="0.35">
      <c r="T943" s="30">
        <v>1878</v>
      </c>
      <c r="U943" s="30">
        <v>33779</v>
      </c>
    </row>
    <row r="944" spans="20:21" x14ac:dyDescent="0.35">
      <c r="T944" s="30">
        <v>1880</v>
      </c>
      <c r="U944" s="30">
        <v>33819</v>
      </c>
    </row>
    <row r="945" spans="20:21" x14ac:dyDescent="0.35">
      <c r="T945" s="30">
        <v>1882</v>
      </c>
      <c r="U945" s="30">
        <v>33858.5</v>
      </c>
    </row>
    <row r="946" spans="20:21" x14ac:dyDescent="0.35">
      <c r="T946" s="30">
        <v>1884</v>
      </c>
      <c r="U946" s="30">
        <v>33898</v>
      </c>
    </row>
    <row r="947" spans="20:21" x14ac:dyDescent="0.35">
      <c r="T947" s="30">
        <v>1886</v>
      </c>
      <c r="U947" s="30">
        <v>33938</v>
      </c>
    </row>
    <row r="948" spans="20:21" x14ac:dyDescent="0.35">
      <c r="T948" s="30">
        <v>1888</v>
      </c>
      <c r="U948" s="30">
        <v>33978</v>
      </c>
    </row>
    <row r="949" spans="20:21" x14ac:dyDescent="0.35">
      <c r="T949" s="30">
        <v>1890</v>
      </c>
      <c r="U949" s="30">
        <v>34017.5</v>
      </c>
    </row>
    <row r="950" spans="20:21" x14ac:dyDescent="0.35">
      <c r="T950" s="30">
        <v>1892</v>
      </c>
      <c r="U950" s="30">
        <v>34057</v>
      </c>
    </row>
    <row r="951" spans="20:21" x14ac:dyDescent="0.35">
      <c r="T951" s="30">
        <v>1894</v>
      </c>
      <c r="U951" s="30">
        <v>34096.5</v>
      </c>
    </row>
    <row r="952" spans="20:21" x14ac:dyDescent="0.35">
      <c r="T952" s="30">
        <v>1896</v>
      </c>
      <c r="U952" s="30">
        <v>34136</v>
      </c>
    </row>
    <row r="953" spans="20:21" x14ac:dyDescent="0.35">
      <c r="T953" s="30">
        <v>1898</v>
      </c>
      <c r="U953" s="30">
        <v>34175.5</v>
      </c>
    </row>
    <row r="954" spans="20:21" x14ac:dyDescent="0.35">
      <c r="T954" s="30">
        <v>1900</v>
      </c>
      <c r="U954" s="30">
        <v>34215</v>
      </c>
    </row>
    <row r="955" spans="20:21" x14ac:dyDescent="0.35">
      <c r="T955" s="30">
        <v>1902</v>
      </c>
      <c r="U955" s="30">
        <v>34254.5</v>
      </c>
    </row>
    <row r="956" spans="20:21" x14ac:dyDescent="0.35">
      <c r="T956" s="30">
        <v>1904</v>
      </c>
      <c r="U956" s="30">
        <v>34294</v>
      </c>
    </row>
    <row r="957" spans="20:21" x14ac:dyDescent="0.35">
      <c r="T957" s="30">
        <v>1906</v>
      </c>
      <c r="U957" s="30">
        <v>34333.5</v>
      </c>
    </row>
    <row r="958" spans="20:21" x14ac:dyDescent="0.35">
      <c r="T958" s="30">
        <v>1908</v>
      </c>
      <c r="U958" s="30">
        <v>34373</v>
      </c>
    </row>
    <row r="959" spans="20:21" x14ac:dyDescent="0.35">
      <c r="T959" s="30">
        <v>1910</v>
      </c>
      <c r="U959" s="30">
        <v>34412.5</v>
      </c>
    </row>
    <row r="960" spans="20:21" x14ac:dyDescent="0.35">
      <c r="T960" s="30">
        <v>1912</v>
      </c>
      <c r="U960" s="30">
        <v>34452</v>
      </c>
    </row>
    <row r="961" spans="20:21" x14ac:dyDescent="0.35">
      <c r="T961" s="30">
        <v>1914</v>
      </c>
      <c r="U961" s="30">
        <v>34491.5</v>
      </c>
    </row>
    <row r="962" spans="20:21" x14ac:dyDescent="0.35">
      <c r="T962" s="30">
        <v>1916</v>
      </c>
      <c r="U962" s="30">
        <v>34531</v>
      </c>
    </row>
    <row r="963" spans="20:21" x14ac:dyDescent="0.35">
      <c r="T963" s="30">
        <v>1918</v>
      </c>
      <c r="U963" s="30">
        <v>34570</v>
      </c>
    </row>
    <row r="964" spans="20:21" x14ac:dyDescent="0.35">
      <c r="T964" s="30">
        <v>1920</v>
      </c>
      <c r="U964" s="30">
        <v>34609</v>
      </c>
    </row>
    <row r="965" spans="20:21" x14ac:dyDescent="0.35">
      <c r="T965" s="30">
        <v>1922</v>
      </c>
      <c r="U965" s="30">
        <v>34648</v>
      </c>
    </row>
    <row r="966" spans="20:21" x14ac:dyDescent="0.35">
      <c r="T966" s="30">
        <v>1924</v>
      </c>
      <c r="U966" s="30">
        <v>34687</v>
      </c>
    </row>
    <row r="967" spans="20:21" x14ac:dyDescent="0.35">
      <c r="T967" s="30">
        <v>1926</v>
      </c>
      <c r="U967" s="30">
        <v>34726.5</v>
      </c>
    </row>
    <row r="968" spans="20:21" x14ac:dyDescent="0.35">
      <c r="T968" s="30">
        <v>1928</v>
      </c>
      <c r="U968" s="30">
        <v>34766</v>
      </c>
    </row>
    <row r="969" spans="20:21" x14ac:dyDescent="0.35">
      <c r="T969" s="30">
        <v>1930</v>
      </c>
      <c r="U969" s="30">
        <v>34805</v>
      </c>
    </row>
    <row r="970" spans="20:21" x14ac:dyDescent="0.35">
      <c r="T970" s="30">
        <v>1932</v>
      </c>
      <c r="U970" s="30">
        <v>34844</v>
      </c>
    </row>
    <row r="971" spans="20:21" x14ac:dyDescent="0.35">
      <c r="T971" s="30">
        <v>1934</v>
      </c>
      <c r="U971" s="30">
        <v>34883</v>
      </c>
    </row>
    <row r="972" spans="20:21" x14ac:dyDescent="0.35">
      <c r="T972" s="30">
        <v>1936</v>
      </c>
      <c r="U972" s="30">
        <v>34922</v>
      </c>
    </row>
    <row r="973" spans="20:21" x14ac:dyDescent="0.35">
      <c r="T973" s="30">
        <v>1938</v>
      </c>
      <c r="U973" s="30">
        <v>34961</v>
      </c>
    </row>
    <row r="974" spans="20:21" x14ac:dyDescent="0.35">
      <c r="T974" s="30">
        <v>1940</v>
      </c>
      <c r="U974" s="30">
        <v>35000</v>
      </c>
    </row>
    <row r="975" spans="20:21" x14ac:dyDescent="0.35">
      <c r="T975" s="30">
        <v>1942</v>
      </c>
      <c r="U975" s="30">
        <v>35039</v>
      </c>
    </row>
    <row r="976" spans="20:21" x14ac:dyDescent="0.35">
      <c r="T976" s="30">
        <v>1944</v>
      </c>
      <c r="U976" s="30">
        <v>35078</v>
      </c>
    </row>
    <row r="977" spans="20:21" x14ac:dyDescent="0.35">
      <c r="T977" s="30">
        <v>1946</v>
      </c>
      <c r="U977" s="30">
        <v>35116.5</v>
      </c>
    </row>
    <row r="978" spans="20:21" x14ac:dyDescent="0.35">
      <c r="T978" s="30">
        <v>1948</v>
      </c>
      <c r="U978" s="30">
        <v>35155</v>
      </c>
    </row>
    <row r="979" spans="20:21" x14ac:dyDescent="0.35">
      <c r="T979" s="30">
        <v>1950</v>
      </c>
      <c r="U979" s="30">
        <v>35194</v>
      </c>
    </row>
    <row r="980" spans="20:21" x14ac:dyDescent="0.35">
      <c r="T980" s="30">
        <v>1952</v>
      </c>
      <c r="U980" s="30">
        <v>35233</v>
      </c>
    </row>
    <row r="981" spans="20:21" x14ac:dyDescent="0.35">
      <c r="T981" s="30">
        <v>1954</v>
      </c>
      <c r="U981" s="30">
        <v>35272</v>
      </c>
    </row>
    <row r="982" spans="20:21" x14ac:dyDescent="0.35">
      <c r="T982" s="30">
        <v>1956</v>
      </c>
      <c r="U982" s="30">
        <v>35311</v>
      </c>
    </row>
    <row r="983" spans="20:21" x14ac:dyDescent="0.35">
      <c r="T983" s="30">
        <v>1958</v>
      </c>
      <c r="U983" s="30">
        <v>35349.5</v>
      </c>
    </row>
    <row r="984" spans="20:21" x14ac:dyDescent="0.35">
      <c r="T984" s="30">
        <v>1960</v>
      </c>
      <c r="U984" s="30">
        <v>35388</v>
      </c>
    </row>
    <row r="985" spans="20:21" x14ac:dyDescent="0.35">
      <c r="T985" s="30">
        <v>1962</v>
      </c>
      <c r="U985" s="30">
        <v>35426.5</v>
      </c>
    </row>
    <row r="986" spans="20:21" x14ac:dyDescent="0.35">
      <c r="T986" s="30">
        <v>1964</v>
      </c>
      <c r="U986" s="30">
        <v>35465</v>
      </c>
    </row>
    <row r="987" spans="20:21" x14ac:dyDescent="0.35">
      <c r="T987" s="30">
        <v>1966</v>
      </c>
      <c r="U987" s="30">
        <v>35503.5</v>
      </c>
    </row>
    <row r="988" spans="20:21" x14ac:dyDescent="0.35">
      <c r="T988" s="30">
        <v>1968</v>
      </c>
      <c r="U988" s="30">
        <v>35542</v>
      </c>
    </row>
    <row r="989" spans="20:21" x14ac:dyDescent="0.35">
      <c r="T989" s="30">
        <v>1970</v>
      </c>
      <c r="U989" s="30">
        <v>35580.5</v>
      </c>
    </row>
    <row r="990" spans="20:21" x14ac:dyDescent="0.35">
      <c r="T990" s="30">
        <v>1972</v>
      </c>
      <c r="U990" s="30">
        <v>35619</v>
      </c>
    </row>
    <row r="991" spans="20:21" x14ac:dyDescent="0.35">
      <c r="T991" s="30">
        <v>1974</v>
      </c>
      <c r="U991" s="30">
        <v>35657.5</v>
      </c>
    </row>
    <row r="992" spans="20:21" x14ac:dyDescent="0.35">
      <c r="T992" s="30">
        <v>1976</v>
      </c>
      <c r="U992" s="30">
        <v>35696</v>
      </c>
    </row>
    <row r="993" spans="20:21" x14ac:dyDescent="0.35">
      <c r="T993" s="30">
        <v>1978</v>
      </c>
      <c r="U993" s="30">
        <v>35734.5</v>
      </c>
    </row>
    <row r="994" spans="20:21" x14ac:dyDescent="0.35">
      <c r="T994" s="30">
        <v>1980</v>
      </c>
      <c r="U994" s="30">
        <v>35773</v>
      </c>
    </row>
    <row r="995" spans="20:21" x14ac:dyDescent="0.35">
      <c r="T995" s="30">
        <v>1982</v>
      </c>
      <c r="U995" s="30">
        <v>35811</v>
      </c>
    </row>
    <row r="996" spans="20:21" x14ac:dyDescent="0.35">
      <c r="T996" s="30">
        <v>1984</v>
      </c>
      <c r="U996" s="30">
        <v>35849</v>
      </c>
    </row>
    <row r="997" spans="20:21" x14ac:dyDescent="0.35">
      <c r="T997" s="30">
        <v>1986</v>
      </c>
      <c r="U997" s="30">
        <v>35887.5</v>
      </c>
    </row>
    <row r="998" spans="20:21" x14ac:dyDescent="0.35">
      <c r="T998" s="30">
        <v>1988</v>
      </c>
      <c r="U998" s="30">
        <v>35926</v>
      </c>
    </row>
    <row r="999" spans="20:21" x14ac:dyDescent="0.35">
      <c r="T999" s="30">
        <v>1990</v>
      </c>
      <c r="U999" s="30">
        <v>35964</v>
      </c>
    </row>
    <row r="1000" spans="20:21" x14ac:dyDescent="0.35">
      <c r="T1000" s="30">
        <v>1992</v>
      </c>
      <c r="U1000" s="30">
        <v>36002</v>
      </c>
    </row>
    <row r="1001" spans="20:21" x14ac:dyDescent="0.35">
      <c r="T1001" s="30">
        <v>1994</v>
      </c>
      <c r="U1001" s="30">
        <v>36040</v>
      </c>
    </row>
    <row r="1002" spans="20:21" x14ac:dyDescent="0.35">
      <c r="T1002" s="30">
        <v>1996</v>
      </c>
      <c r="U1002" s="30">
        <v>36078</v>
      </c>
    </row>
    <row r="1003" spans="20:21" x14ac:dyDescent="0.35">
      <c r="T1003" s="30">
        <v>1998</v>
      </c>
      <c r="U1003" s="30">
        <v>36116</v>
      </c>
    </row>
    <row r="1004" spans="20:21" x14ac:dyDescent="0.35">
      <c r="T1004" s="30">
        <v>2000</v>
      </c>
      <c r="U1004" s="30">
        <v>36154</v>
      </c>
    </row>
    <row r="1005" spans="20:21" x14ac:dyDescent="0.35">
      <c r="T1005" s="30">
        <v>2002</v>
      </c>
      <c r="U1005" s="30">
        <v>36192</v>
      </c>
    </row>
    <row r="1006" spans="20:21" x14ac:dyDescent="0.35">
      <c r="T1006" s="30">
        <v>2004</v>
      </c>
      <c r="U1006" s="30">
        <v>36230</v>
      </c>
    </row>
    <row r="1007" spans="20:21" x14ac:dyDescent="0.35">
      <c r="T1007" s="30">
        <v>2006</v>
      </c>
      <c r="U1007" s="30">
        <v>36268</v>
      </c>
    </row>
    <row r="1008" spans="20:21" x14ac:dyDescent="0.35">
      <c r="T1008" s="30">
        <v>2008</v>
      </c>
      <c r="U1008" s="30">
        <v>36306</v>
      </c>
    </row>
    <row r="1009" spans="20:21" x14ac:dyDescent="0.35">
      <c r="T1009" s="30">
        <v>2010</v>
      </c>
      <c r="U1009" s="30">
        <v>36344</v>
      </c>
    </row>
    <row r="1010" spans="20:21" x14ac:dyDescent="0.35">
      <c r="T1010" s="30">
        <v>2012</v>
      </c>
      <c r="U1010" s="30">
        <v>36382</v>
      </c>
    </row>
    <row r="1011" spans="20:21" x14ac:dyDescent="0.35">
      <c r="T1011" s="30">
        <v>2014</v>
      </c>
      <c r="U1011" s="30">
        <v>36419.5</v>
      </c>
    </row>
    <row r="1012" spans="20:21" x14ac:dyDescent="0.35">
      <c r="T1012" s="30">
        <v>2016</v>
      </c>
      <c r="U1012" s="30">
        <v>36457</v>
      </c>
    </row>
    <row r="1013" spans="20:21" x14ac:dyDescent="0.35">
      <c r="T1013" s="30">
        <v>2018</v>
      </c>
      <c r="U1013" s="30">
        <v>36494.5</v>
      </c>
    </row>
    <row r="1014" spans="20:21" x14ac:dyDescent="0.35">
      <c r="T1014" s="30">
        <v>2020</v>
      </c>
      <c r="U1014" s="30">
        <v>36532</v>
      </c>
    </row>
    <row r="1015" spans="20:21" x14ac:dyDescent="0.35">
      <c r="T1015" s="30">
        <v>2022</v>
      </c>
      <c r="U1015" s="30">
        <v>36570</v>
      </c>
    </row>
    <row r="1016" spans="20:21" x14ac:dyDescent="0.35">
      <c r="T1016" s="30">
        <v>2024</v>
      </c>
      <c r="U1016" s="30">
        <v>36608</v>
      </c>
    </row>
    <row r="1017" spans="20:21" x14ac:dyDescent="0.35">
      <c r="T1017" s="30">
        <v>2026</v>
      </c>
      <c r="U1017" s="30">
        <v>36645.5</v>
      </c>
    </row>
    <row r="1018" spans="20:21" x14ac:dyDescent="0.35">
      <c r="T1018" s="30">
        <v>2028</v>
      </c>
      <c r="U1018" s="30">
        <v>36683</v>
      </c>
    </row>
    <row r="1019" spans="20:21" x14ac:dyDescent="0.35">
      <c r="T1019" s="30">
        <v>2030</v>
      </c>
      <c r="U1019" s="30">
        <v>36720.5</v>
      </c>
    </row>
    <row r="1020" spans="20:21" x14ac:dyDescent="0.35">
      <c r="T1020" s="30">
        <v>2032</v>
      </c>
      <c r="U1020" s="30">
        <v>36758</v>
      </c>
    </row>
    <row r="1021" spans="20:21" x14ac:dyDescent="0.35">
      <c r="T1021" s="30">
        <v>2034</v>
      </c>
      <c r="U1021" s="30">
        <v>36795.5</v>
      </c>
    </row>
    <row r="1022" spans="20:21" x14ac:dyDescent="0.35">
      <c r="T1022" s="30">
        <v>2036</v>
      </c>
      <c r="U1022" s="30">
        <v>36833</v>
      </c>
    </row>
    <row r="1023" spans="20:21" x14ac:dyDescent="0.35">
      <c r="T1023" s="30">
        <v>2038</v>
      </c>
      <c r="U1023" s="30">
        <v>36870</v>
      </c>
    </row>
    <row r="1024" spans="20:21" x14ac:dyDescent="0.35">
      <c r="T1024" s="30">
        <v>2040</v>
      </c>
      <c r="U1024" s="30">
        <v>36907</v>
      </c>
    </row>
    <row r="1025" spans="20:21" x14ac:dyDescent="0.35">
      <c r="T1025" s="30">
        <v>2042</v>
      </c>
      <c r="U1025" s="30">
        <v>36944.5</v>
      </c>
    </row>
    <row r="1026" spans="20:21" x14ac:dyDescent="0.35">
      <c r="T1026" s="30">
        <v>2044</v>
      </c>
      <c r="U1026" s="30">
        <v>36982</v>
      </c>
    </row>
    <row r="1027" spans="20:21" x14ac:dyDescent="0.35">
      <c r="T1027" s="30">
        <v>2046</v>
      </c>
      <c r="U1027" s="30">
        <v>37019</v>
      </c>
    </row>
    <row r="1028" spans="20:21" x14ac:dyDescent="0.35">
      <c r="T1028" s="30">
        <v>2048</v>
      </c>
      <c r="U1028" s="30">
        <v>37056</v>
      </c>
    </row>
    <row r="1029" spans="20:21" x14ac:dyDescent="0.35">
      <c r="T1029" s="30">
        <v>2050</v>
      </c>
      <c r="U1029" s="30">
        <v>37093</v>
      </c>
    </row>
    <row r="1030" spans="20:21" x14ac:dyDescent="0.35">
      <c r="T1030" s="30">
        <v>2052</v>
      </c>
      <c r="U1030" s="30">
        <v>37130</v>
      </c>
    </row>
    <row r="1031" spans="20:21" x14ac:dyDescent="0.35">
      <c r="T1031" s="30">
        <v>2054</v>
      </c>
      <c r="U1031" s="30">
        <v>37167</v>
      </c>
    </row>
    <row r="1032" spans="20:21" x14ac:dyDescent="0.35">
      <c r="T1032" s="30">
        <v>2056</v>
      </c>
      <c r="U1032" s="30">
        <v>37204</v>
      </c>
    </row>
    <row r="1033" spans="20:21" x14ac:dyDescent="0.35">
      <c r="T1033" s="30">
        <v>2058</v>
      </c>
      <c r="U1033" s="30">
        <v>37241</v>
      </c>
    </row>
    <row r="1034" spans="20:21" x14ac:dyDescent="0.35">
      <c r="T1034" s="30">
        <v>2060</v>
      </c>
      <c r="U1034" s="30">
        <v>37278</v>
      </c>
    </row>
    <row r="1035" spans="20:21" x14ac:dyDescent="0.35">
      <c r="T1035" s="30">
        <v>2062</v>
      </c>
      <c r="U1035" s="30">
        <v>37315</v>
      </c>
    </row>
    <row r="1036" spans="20:21" x14ac:dyDescent="0.35">
      <c r="T1036" s="30">
        <v>2064</v>
      </c>
      <c r="U1036" s="30">
        <v>37352</v>
      </c>
    </row>
    <row r="1037" spans="20:21" x14ac:dyDescent="0.35">
      <c r="T1037" s="30">
        <v>2066</v>
      </c>
      <c r="U1037" s="30">
        <v>37389</v>
      </c>
    </row>
    <row r="1038" spans="20:21" x14ac:dyDescent="0.35">
      <c r="T1038" s="30">
        <v>2068</v>
      </c>
      <c r="U1038" s="30">
        <v>37426</v>
      </c>
    </row>
    <row r="1039" spans="20:21" x14ac:dyDescent="0.35">
      <c r="T1039" s="30">
        <v>2070</v>
      </c>
      <c r="U1039" s="30">
        <v>37462.5</v>
      </c>
    </row>
    <row r="1040" spans="20:21" x14ac:dyDescent="0.35">
      <c r="T1040" s="30">
        <v>2072</v>
      </c>
      <c r="U1040" s="30">
        <v>37499</v>
      </c>
    </row>
    <row r="1041" spans="20:21" x14ac:dyDescent="0.35">
      <c r="T1041" s="30">
        <v>2074</v>
      </c>
      <c r="U1041" s="30">
        <v>37536</v>
      </c>
    </row>
    <row r="1042" spans="20:21" x14ac:dyDescent="0.35">
      <c r="T1042" s="30">
        <v>2076</v>
      </c>
      <c r="U1042" s="30">
        <v>37573</v>
      </c>
    </row>
    <row r="1043" spans="20:21" x14ac:dyDescent="0.35">
      <c r="T1043" s="30">
        <v>2078</v>
      </c>
      <c r="U1043" s="30">
        <v>37609.5</v>
      </c>
    </row>
    <row r="1044" spans="20:21" x14ac:dyDescent="0.35">
      <c r="T1044" s="30">
        <v>2080</v>
      </c>
      <c r="U1044" s="30">
        <v>37646</v>
      </c>
    </row>
    <row r="1045" spans="20:21" x14ac:dyDescent="0.35">
      <c r="T1045" s="30">
        <v>2082</v>
      </c>
      <c r="U1045" s="30">
        <v>37682.5</v>
      </c>
    </row>
    <row r="1046" spans="20:21" x14ac:dyDescent="0.35">
      <c r="T1046" s="30">
        <v>2084</v>
      </c>
      <c r="U1046" s="30">
        <v>37719</v>
      </c>
    </row>
    <row r="1047" spans="20:21" x14ac:dyDescent="0.35">
      <c r="T1047" s="30">
        <v>2086</v>
      </c>
      <c r="U1047" s="30">
        <v>37755.5</v>
      </c>
    </row>
    <row r="1048" spans="20:21" x14ac:dyDescent="0.35">
      <c r="T1048" s="30">
        <v>2088</v>
      </c>
      <c r="U1048" s="30">
        <v>37792</v>
      </c>
    </row>
    <row r="1049" spans="20:21" x14ac:dyDescent="0.35">
      <c r="T1049" s="30">
        <v>2090</v>
      </c>
      <c r="U1049" s="30">
        <v>37828</v>
      </c>
    </row>
    <row r="1050" spans="20:21" x14ac:dyDescent="0.35">
      <c r="T1050" s="30">
        <v>2092</v>
      </c>
      <c r="U1050" s="30">
        <v>37864</v>
      </c>
    </row>
    <row r="1051" spans="20:21" x14ac:dyDescent="0.35">
      <c r="T1051" s="30">
        <v>2094</v>
      </c>
      <c r="U1051" s="30">
        <v>37900.5</v>
      </c>
    </row>
    <row r="1052" spans="20:21" x14ac:dyDescent="0.35">
      <c r="T1052" s="30">
        <v>2096</v>
      </c>
      <c r="U1052" s="30">
        <v>37937</v>
      </c>
    </row>
    <row r="1053" spans="20:21" x14ac:dyDescent="0.35">
      <c r="T1053" s="30">
        <v>2098</v>
      </c>
      <c r="U1053" s="30">
        <v>37973</v>
      </c>
    </row>
    <row r="1054" spans="20:21" x14ac:dyDescent="0.35">
      <c r="T1054" s="30">
        <v>2100</v>
      </c>
      <c r="U1054" s="30">
        <v>38009</v>
      </c>
    </row>
    <row r="1055" spans="20:21" x14ac:dyDescent="0.35">
      <c r="T1055" s="30">
        <v>2102</v>
      </c>
      <c r="U1055" s="30">
        <v>38045</v>
      </c>
    </row>
    <row r="1056" spans="20:21" x14ac:dyDescent="0.35">
      <c r="T1056" s="30">
        <v>2104</v>
      </c>
      <c r="U1056" s="30">
        <v>38081</v>
      </c>
    </row>
    <row r="1057" spans="20:21" x14ac:dyDescent="0.35">
      <c r="T1057" s="30">
        <v>2106</v>
      </c>
      <c r="U1057" s="30">
        <v>38117</v>
      </c>
    </row>
    <row r="1058" spans="20:21" x14ac:dyDescent="0.35">
      <c r="T1058" s="30">
        <v>2108</v>
      </c>
      <c r="U1058" s="30">
        <v>38153</v>
      </c>
    </row>
    <row r="1059" spans="20:21" x14ac:dyDescent="0.35">
      <c r="T1059" s="30">
        <v>2110</v>
      </c>
      <c r="U1059" s="30">
        <v>38189</v>
      </c>
    </row>
    <row r="1060" spans="20:21" x14ac:dyDescent="0.35">
      <c r="T1060" s="30">
        <v>2112</v>
      </c>
      <c r="U1060" s="30">
        <v>38225</v>
      </c>
    </row>
    <row r="1061" spans="20:21" x14ac:dyDescent="0.35">
      <c r="T1061" s="30">
        <v>2114</v>
      </c>
      <c r="U1061" s="30">
        <v>38261</v>
      </c>
    </row>
    <row r="1062" spans="20:21" x14ac:dyDescent="0.35">
      <c r="T1062" s="30">
        <v>2116</v>
      </c>
      <c r="U1062" s="30">
        <v>38297</v>
      </c>
    </row>
    <row r="1063" spans="20:21" x14ac:dyDescent="0.35">
      <c r="T1063" s="30">
        <v>2118</v>
      </c>
      <c r="U1063" s="30">
        <v>38332.5</v>
      </c>
    </row>
    <row r="1064" spans="20:21" x14ac:dyDescent="0.35">
      <c r="T1064" s="30">
        <v>2120</v>
      </c>
      <c r="U1064" s="30">
        <v>38368</v>
      </c>
    </row>
    <row r="1065" spans="20:21" x14ac:dyDescent="0.35">
      <c r="T1065" s="30">
        <v>2122</v>
      </c>
      <c r="U1065" s="30">
        <v>38404</v>
      </c>
    </row>
    <row r="1066" spans="20:21" x14ac:dyDescent="0.35">
      <c r="T1066" s="30">
        <v>2124</v>
      </c>
      <c r="U1066" s="30">
        <v>38440</v>
      </c>
    </row>
    <row r="1067" spans="20:21" x14ac:dyDescent="0.35">
      <c r="T1067" s="30">
        <v>2126</v>
      </c>
      <c r="U1067" s="30">
        <v>38475.5</v>
      </c>
    </row>
    <row r="1068" spans="20:21" x14ac:dyDescent="0.35">
      <c r="T1068" s="30">
        <v>2128</v>
      </c>
      <c r="U1068" s="30">
        <v>38511</v>
      </c>
    </row>
    <row r="1069" spans="20:21" x14ac:dyDescent="0.35">
      <c r="T1069" s="30">
        <v>2130</v>
      </c>
      <c r="U1069" s="30">
        <v>38546.5</v>
      </c>
    </row>
    <row r="1070" spans="20:21" x14ac:dyDescent="0.35">
      <c r="T1070" s="30">
        <v>2132</v>
      </c>
      <c r="U1070" s="30">
        <v>38582</v>
      </c>
    </row>
    <row r="1071" spans="20:21" x14ac:dyDescent="0.35">
      <c r="T1071" s="30">
        <v>2134</v>
      </c>
      <c r="U1071" s="30">
        <v>38617.5</v>
      </c>
    </row>
    <row r="1072" spans="20:21" x14ac:dyDescent="0.35">
      <c r="T1072" s="30">
        <v>2136</v>
      </c>
      <c r="U1072" s="30">
        <v>38653</v>
      </c>
    </row>
    <row r="1073" spans="20:21" x14ac:dyDescent="0.35">
      <c r="T1073" s="30">
        <v>2138</v>
      </c>
      <c r="U1073" s="30">
        <v>38688.5</v>
      </c>
    </row>
    <row r="1074" spans="20:21" x14ac:dyDescent="0.35">
      <c r="T1074" s="30">
        <v>2140</v>
      </c>
      <c r="U1074" s="30">
        <v>38724</v>
      </c>
    </row>
    <row r="1075" spans="20:21" x14ac:dyDescent="0.35">
      <c r="T1075" s="30">
        <v>2142</v>
      </c>
      <c r="U1075" s="30">
        <v>38759</v>
      </c>
    </row>
    <row r="1076" spans="20:21" x14ac:dyDescent="0.35">
      <c r="T1076" s="30">
        <v>2144</v>
      </c>
      <c r="U1076" s="30">
        <v>38794</v>
      </c>
    </row>
    <row r="1077" spans="20:21" x14ac:dyDescent="0.35">
      <c r="T1077" s="30">
        <v>2146</v>
      </c>
      <c r="U1077" s="30">
        <v>38829</v>
      </c>
    </row>
    <row r="1078" spans="20:21" x14ac:dyDescent="0.35">
      <c r="T1078" s="30">
        <v>2148</v>
      </c>
      <c r="U1078" s="30">
        <v>38864</v>
      </c>
    </row>
    <row r="1079" spans="20:21" x14ac:dyDescent="0.35">
      <c r="T1079" s="30">
        <v>2150</v>
      </c>
      <c r="U1079" s="30">
        <v>38899</v>
      </c>
    </row>
    <row r="1080" spans="20:21" x14ac:dyDescent="0.35">
      <c r="T1080" s="30">
        <v>2152</v>
      </c>
      <c r="U1080" s="30">
        <v>38934</v>
      </c>
    </row>
    <row r="1081" spans="20:21" x14ac:dyDescent="0.35">
      <c r="T1081" s="30">
        <v>2154</v>
      </c>
      <c r="U1081" s="30">
        <v>38969</v>
      </c>
    </row>
    <row r="1082" spans="20:21" x14ac:dyDescent="0.35">
      <c r="T1082" s="30">
        <v>2156</v>
      </c>
      <c r="U1082" s="30">
        <v>39004</v>
      </c>
    </row>
    <row r="1083" spans="20:21" x14ac:dyDescent="0.35">
      <c r="T1083" s="30">
        <v>2158</v>
      </c>
      <c r="U1083" s="30">
        <v>39039</v>
      </c>
    </row>
    <row r="1084" spans="20:21" x14ac:dyDescent="0.35">
      <c r="T1084" s="30">
        <v>2160</v>
      </c>
      <c r="U1084" s="30">
        <v>39074</v>
      </c>
    </row>
    <row r="1085" spans="20:21" x14ac:dyDescent="0.35">
      <c r="T1085" s="30">
        <v>2162</v>
      </c>
      <c r="U1085" s="30">
        <v>39109</v>
      </c>
    </row>
    <row r="1086" spans="20:21" x14ac:dyDescent="0.35">
      <c r="T1086" s="30">
        <v>2164</v>
      </c>
      <c r="U1086" s="30">
        <v>39144</v>
      </c>
    </row>
    <row r="1087" spans="20:21" x14ac:dyDescent="0.35">
      <c r="T1087" s="30">
        <v>2166</v>
      </c>
      <c r="U1087" s="30">
        <v>39178.5</v>
      </c>
    </row>
    <row r="1088" spans="20:21" x14ac:dyDescent="0.35">
      <c r="T1088" s="30">
        <v>2168</v>
      </c>
      <c r="U1088" s="30">
        <v>39213</v>
      </c>
    </row>
    <row r="1089" spans="20:21" x14ac:dyDescent="0.35">
      <c r="T1089" s="30">
        <v>2170</v>
      </c>
      <c r="U1089" s="30">
        <v>39247.5</v>
      </c>
    </row>
    <row r="1090" spans="20:21" x14ac:dyDescent="0.35">
      <c r="T1090" s="30">
        <v>2172</v>
      </c>
      <c r="U1090" s="30">
        <v>39282</v>
      </c>
    </row>
    <row r="1091" spans="20:21" x14ac:dyDescent="0.35">
      <c r="T1091" s="30">
        <v>2174</v>
      </c>
      <c r="U1091" s="30">
        <v>39317</v>
      </c>
    </row>
    <row r="1092" spans="20:21" x14ac:dyDescent="0.35">
      <c r="T1092" s="30">
        <v>2176</v>
      </c>
      <c r="U1092" s="30">
        <v>39352</v>
      </c>
    </row>
    <row r="1093" spans="20:21" x14ac:dyDescent="0.35">
      <c r="T1093" s="30">
        <v>2178</v>
      </c>
      <c r="U1093" s="30">
        <v>39386</v>
      </c>
    </row>
    <row r="1094" spans="20:21" x14ac:dyDescent="0.35">
      <c r="T1094" s="30">
        <v>2180</v>
      </c>
      <c r="U1094" s="30">
        <v>39420</v>
      </c>
    </row>
    <row r="1095" spans="20:21" x14ac:dyDescent="0.35">
      <c r="T1095" s="30">
        <v>2182</v>
      </c>
      <c r="U1095" s="30">
        <v>39454.5</v>
      </c>
    </row>
    <row r="1096" spans="20:21" x14ac:dyDescent="0.35">
      <c r="T1096" s="30">
        <v>2184</v>
      </c>
      <c r="U1096" s="30">
        <v>39489</v>
      </c>
    </row>
    <row r="1097" spans="20:21" x14ac:dyDescent="0.35">
      <c r="T1097" s="30">
        <v>2186</v>
      </c>
      <c r="U1097" s="30">
        <v>39523.5</v>
      </c>
    </row>
    <row r="1098" spans="20:21" x14ac:dyDescent="0.35">
      <c r="T1098" s="30">
        <v>2188</v>
      </c>
      <c r="U1098" s="30">
        <v>39558</v>
      </c>
    </row>
    <row r="1099" spans="20:21" x14ac:dyDescent="0.35">
      <c r="T1099" s="30">
        <v>2190</v>
      </c>
      <c r="U1099" s="30">
        <v>39592</v>
      </c>
    </row>
    <row r="1100" spans="20:21" x14ac:dyDescent="0.35">
      <c r="T1100" s="30">
        <v>2192</v>
      </c>
      <c r="U1100" s="30">
        <v>39626</v>
      </c>
    </row>
    <row r="1101" spans="20:21" x14ac:dyDescent="0.35">
      <c r="T1101" s="30">
        <v>2194</v>
      </c>
      <c r="U1101" s="30">
        <v>39660</v>
      </c>
    </row>
    <row r="1102" spans="20:21" x14ac:dyDescent="0.35">
      <c r="T1102" s="30">
        <v>2196</v>
      </c>
      <c r="U1102" s="30">
        <v>39694</v>
      </c>
    </row>
    <row r="1103" spans="20:21" x14ac:dyDescent="0.35">
      <c r="T1103" s="30">
        <v>2198</v>
      </c>
      <c r="U1103" s="30">
        <v>39728</v>
      </c>
    </row>
    <row r="1104" spans="20:21" x14ac:dyDescent="0.35">
      <c r="T1104" s="30">
        <v>2200</v>
      </c>
      <c r="U1104" s="30">
        <v>39762</v>
      </c>
    </row>
    <row r="1105" spans="20:21" x14ac:dyDescent="0.35">
      <c r="T1105" s="30">
        <v>2202</v>
      </c>
      <c r="U1105" s="30">
        <v>39795.5</v>
      </c>
    </row>
    <row r="1106" spans="20:21" x14ac:dyDescent="0.35">
      <c r="T1106" s="30">
        <v>2204</v>
      </c>
      <c r="U1106" s="30">
        <v>39829</v>
      </c>
    </row>
    <row r="1107" spans="20:21" x14ac:dyDescent="0.35">
      <c r="T1107" s="30">
        <v>2206</v>
      </c>
      <c r="U1107" s="30">
        <v>39863</v>
      </c>
    </row>
    <row r="1108" spans="20:21" x14ac:dyDescent="0.35">
      <c r="T1108" s="30">
        <v>2208</v>
      </c>
      <c r="U1108" s="30">
        <v>39897</v>
      </c>
    </row>
    <row r="1109" spans="20:21" x14ac:dyDescent="0.35">
      <c r="T1109" s="30">
        <v>2210</v>
      </c>
      <c r="U1109" s="30">
        <v>39930.5</v>
      </c>
    </row>
    <row r="1110" spans="20:21" x14ac:dyDescent="0.35">
      <c r="T1110" s="30">
        <v>2212</v>
      </c>
      <c r="U1110" s="30">
        <v>39964</v>
      </c>
    </row>
    <row r="1111" spans="20:21" x14ac:dyDescent="0.35">
      <c r="T1111" s="30">
        <v>2214</v>
      </c>
      <c r="U1111" s="30">
        <v>39997.5</v>
      </c>
    </row>
    <row r="1112" spans="20:21" x14ac:dyDescent="0.35">
      <c r="T1112" s="30">
        <v>2216</v>
      </c>
      <c r="U1112" s="30">
        <v>40031</v>
      </c>
    </row>
    <row r="1113" spans="20:21" x14ac:dyDescent="0.35">
      <c r="T1113" s="30">
        <v>2218</v>
      </c>
      <c r="U1113" s="30">
        <v>40064.5</v>
      </c>
    </row>
    <row r="1114" spans="20:21" x14ac:dyDescent="0.35">
      <c r="T1114" s="30">
        <v>2220</v>
      </c>
      <c r="U1114" s="30">
        <v>40098</v>
      </c>
    </row>
    <row r="1115" spans="20:21" x14ac:dyDescent="0.35">
      <c r="T1115" s="30">
        <v>2222</v>
      </c>
      <c r="U1115" s="30">
        <v>40131.5</v>
      </c>
    </row>
    <row r="1116" spans="20:21" x14ac:dyDescent="0.35">
      <c r="T1116" s="30">
        <v>2224</v>
      </c>
      <c r="U1116" s="30">
        <v>40165</v>
      </c>
    </row>
    <row r="1117" spans="20:21" x14ac:dyDescent="0.35">
      <c r="T1117" s="30">
        <v>2226</v>
      </c>
      <c r="U1117" s="30">
        <v>40198</v>
      </c>
    </row>
    <row r="1118" spans="20:21" x14ac:dyDescent="0.35">
      <c r="T1118" s="30">
        <v>2228</v>
      </c>
      <c r="U1118" s="30">
        <v>40231</v>
      </c>
    </row>
    <row r="1119" spans="20:21" x14ac:dyDescent="0.35">
      <c r="T1119" s="30">
        <v>2230</v>
      </c>
      <c r="U1119" s="30">
        <v>40264.5</v>
      </c>
    </row>
    <row r="1120" spans="20:21" x14ac:dyDescent="0.35">
      <c r="T1120" s="30">
        <v>2232</v>
      </c>
      <c r="U1120" s="30">
        <v>40298</v>
      </c>
    </row>
    <row r="1121" spans="20:21" x14ac:dyDescent="0.35">
      <c r="T1121" s="30">
        <v>2234</v>
      </c>
      <c r="U1121" s="30">
        <v>40331</v>
      </c>
    </row>
    <row r="1122" spans="20:21" x14ac:dyDescent="0.35">
      <c r="T1122" s="30">
        <v>2236</v>
      </c>
      <c r="U1122" s="30">
        <v>40364</v>
      </c>
    </row>
    <row r="1123" spans="20:21" x14ac:dyDescent="0.35">
      <c r="T1123" s="30">
        <v>2238</v>
      </c>
      <c r="U1123" s="30">
        <v>40397</v>
      </c>
    </row>
    <row r="1124" spans="20:21" x14ac:dyDescent="0.35">
      <c r="T1124" s="30">
        <v>2240</v>
      </c>
      <c r="U1124" s="30">
        <v>40430</v>
      </c>
    </row>
    <row r="1125" spans="20:21" x14ac:dyDescent="0.35">
      <c r="T1125" s="30">
        <v>2242</v>
      </c>
      <c r="U1125" s="30">
        <v>40462.5</v>
      </c>
    </row>
    <row r="1126" spans="20:21" x14ac:dyDescent="0.35">
      <c r="T1126" s="30">
        <v>2244</v>
      </c>
      <c r="U1126" s="30">
        <v>40495</v>
      </c>
    </row>
    <row r="1127" spans="20:21" x14ac:dyDescent="0.35">
      <c r="T1127" s="30">
        <v>2246</v>
      </c>
      <c r="U1127" s="30">
        <v>40528</v>
      </c>
    </row>
    <row r="1128" spans="20:21" x14ac:dyDescent="0.35">
      <c r="T1128" s="30">
        <v>2248</v>
      </c>
      <c r="U1128" s="30">
        <v>40561</v>
      </c>
    </row>
    <row r="1129" spans="20:21" x14ac:dyDescent="0.35">
      <c r="T1129" s="30">
        <v>2250</v>
      </c>
      <c r="U1129" s="30">
        <v>40593.5</v>
      </c>
    </row>
    <row r="1130" spans="20:21" x14ac:dyDescent="0.35">
      <c r="T1130" s="30">
        <v>2252</v>
      </c>
      <c r="U1130" s="30">
        <v>40626</v>
      </c>
    </row>
    <row r="1131" spans="20:21" x14ac:dyDescent="0.35">
      <c r="T1131" s="30">
        <v>2254</v>
      </c>
      <c r="U1131" s="30">
        <v>40658.5</v>
      </c>
    </row>
    <row r="1132" spans="20:21" x14ac:dyDescent="0.35">
      <c r="T1132" s="30">
        <v>2256</v>
      </c>
      <c r="U1132" s="30">
        <v>40691</v>
      </c>
    </row>
    <row r="1133" spans="20:21" x14ac:dyDescent="0.35">
      <c r="T1133" s="30">
        <v>2258</v>
      </c>
      <c r="U1133" s="30">
        <v>40723.5</v>
      </c>
    </row>
    <row r="1134" spans="20:21" x14ac:dyDescent="0.35">
      <c r="T1134" s="30">
        <v>2260</v>
      </c>
      <c r="U1134" s="30">
        <v>40756</v>
      </c>
    </row>
    <row r="1135" spans="20:21" x14ac:dyDescent="0.35">
      <c r="T1135" s="30">
        <v>2262</v>
      </c>
      <c r="U1135" s="30">
        <v>40788</v>
      </c>
    </row>
    <row r="1136" spans="20:21" x14ac:dyDescent="0.35">
      <c r="T1136" s="30">
        <v>2264</v>
      </c>
      <c r="U1136" s="30">
        <v>40820</v>
      </c>
    </row>
    <row r="1137" spans="20:21" x14ac:dyDescent="0.35">
      <c r="T1137" s="30">
        <v>2266</v>
      </c>
      <c r="U1137" s="30">
        <v>40852</v>
      </c>
    </row>
    <row r="1138" spans="20:21" x14ac:dyDescent="0.35">
      <c r="T1138" s="30">
        <v>2268</v>
      </c>
      <c r="U1138" s="30">
        <v>40884</v>
      </c>
    </row>
    <row r="1139" spans="20:21" x14ac:dyDescent="0.35">
      <c r="T1139" s="30">
        <v>2270</v>
      </c>
      <c r="U1139" s="30">
        <v>40916.5</v>
      </c>
    </row>
    <row r="1140" spans="20:21" x14ac:dyDescent="0.35">
      <c r="T1140" s="30">
        <v>2272</v>
      </c>
      <c r="U1140" s="30">
        <v>40949</v>
      </c>
    </row>
    <row r="1141" spans="20:21" x14ac:dyDescent="0.35">
      <c r="T1141" s="30">
        <v>2274</v>
      </c>
      <c r="U1141" s="30">
        <v>40980.5</v>
      </c>
    </row>
    <row r="1142" spans="20:21" x14ac:dyDescent="0.35">
      <c r="T1142" s="30">
        <v>2276</v>
      </c>
      <c r="U1142" s="30">
        <v>41012</v>
      </c>
    </row>
    <row r="1143" spans="20:21" x14ac:dyDescent="0.35">
      <c r="T1143" s="30">
        <v>2278</v>
      </c>
      <c r="U1143" s="30">
        <v>41044</v>
      </c>
    </row>
    <row r="1144" spans="20:21" x14ac:dyDescent="0.35">
      <c r="T1144" s="30">
        <v>2280</v>
      </c>
      <c r="U1144" s="30">
        <v>41076</v>
      </c>
    </row>
    <row r="1145" spans="20:21" x14ac:dyDescent="0.35">
      <c r="T1145" s="30">
        <v>2282</v>
      </c>
      <c r="U1145" s="30">
        <v>41108</v>
      </c>
    </row>
    <row r="1146" spans="20:21" x14ac:dyDescent="0.35">
      <c r="T1146" s="30">
        <v>2284</v>
      </c>
      <c r="U1146" s="30">
        <v>41140</v>
      </c>
    </row>
    <row r="1147" spans="20:21" x14ac:dyDescent="0.35">
      <c r="T1147" s="30">
        <v>2286</v>
      </c>
      <c r="U1147" s="30">
        <v>41171.5</v>
      </c>
    </row>
    <row r="1148" spans="20:21" x14ac:dyDescent="0.35">
      <c r="T1148" s="30">
        <v>2288</v>
      </c>
      <c r="U1148" s="30">
        <v>41203</v>
      </c>
    </row>
    <row r="1149" spans="20:21" x14ac:dyDescent="0.35">
      <c r="T1149" s="30">
        <v>2290</v>
      </c>
      <c r="U1149" s="30">
        <v>41234.5</v>
      </c>
    </row>
    <row r="1150" spans="20:21" x14ac:dyDescent="0.35">
      <c r="T1150" s="30">
        <v>2292</v>
      </c>
      <c r="U1150" s="30">
        <v>41266</v>
      </c>
    </row>
    <row r="1151" spans="20:21" x14ac:dyDescent="0.35">
      <c r="T1151" s="30">
        <v>2294</v>
      </c>
      <c r="U1151" s="30">
        <v>41297</v>
      </c>
    </row>
    <row r="1152" spans="20:21" x14ac:dyDescent="0.35">
      <c r="T1152" s="30">
        <v>2296</v>
      </c>
      <c r="U1152" s="30">
        <v>41328</v>
      </c>
    </row>
    <row r="1153" spans="20:21" x14ac:dyDescent="0.35">
      <c r="T1153" s="30">
        <v>2298</v>
      </c>
      <c r="U1153" s="30">
        <v>41359.5</v>
      </c>
    </row>
    <row r="1154" spans="20:21" x14ac:dyDescent="0.35">
      <c r="T1154" s="30">
        <v>2300</v>
      </c>
      <c r="U1154" s="30">
        <v>41391</v>
      </c>
    </row>
    <row r="1155" spans="20:21" x14ac:dyDescent="0.35">
      <c r="T1155" s="30">
        <v>2302</v>
      </c>
      <c r="U1155" s="30">
        <v>41422</v>
      </c>
    </row>
    <row r="1156" spans="20:21" x14ac:dyDescent="0.35">
      <c r="T1156" s="30">
        <v>2304</v>
      </c>
      <c r="U1156" s="30">
        <v>41453</v>
      </c>
    </row>
    <row r="1157" spans="20:21" x14ac:dyDescent="0.35">
      <c r="T1157" s="30">
        <v>2306</v>
      </c>
      <c r="U1157" s="30">
        <v>41484</v>
      </c>
    </row>
    <row r="1158" spans="20:21" x14ac:dyDescent="0.35">
      <c r="T1158" s="30">
        <v>2308</v>
      </c>
      <c r="U1158" s="30">
        <v>41515</v>
      </c>
    </row>
    <row r="1159" spans="20:21" x14ac:dyDescent="0.35">
      <c r="T1159" s="30">
        <v>2310</v>
      </c>
      <c r="U1159" s="30">
        <v>41546</v>
      </c>
    </row>
    <row r="1160" spans="20:21" x14ac:dyDescent="0.35">
      <c r="T1160" s="30">
        <v>2312</v>
      </c>
      <c r="U1160" s="30">
        <v>41577</v>
      </c>
    </row>
    <row r="1161" spans="20:21" x14ac:dyDescent="0.35">
      <c r="T1161" s="30">
        <v>2314</v>
      </c>
      <c r="U1161" s="30">
        <v>41607.5</v>
      </c>
    </row>
    <row r="1162" spans="20:21" x14ac:dyDescent="0.35">
      <c r="T1162" s="30">
        <v>2316</v>
      </c>
      <c r="U1162" s="30">
        <v>41638</v>
      </c>
    </row>
    <row r="1163" spans="20:21" x14ac:dyDescent="0.35">
      <c r="T1163" s="30">
        <v>2318</v>
      </c>
      <c r="U1163" s="30">
        <v>41669</v>
      </c>
    </row>
    <row r="1164" spans="20:21" x14ac:dyDescent="0.35">
      <c r="T1164" s="30">
        <v>2320</v>
      </c>
      <c r="U1164" s="30">
        <v>41700</v>
      </c>
    </row>
    <row r="1165" spans="20:21" x14ac:dyDescent="0.35">
      <c r="T1165" s="30">
        <v>2322</v>
      </c>
      <c r="U1165" s="30">
        <v>41730.5</v>
      </c>
    </row>
    <row r="1166" spans="20:21" x14ac:dyDescent="0.35">
      <c r="T1166" s="30">
        <v>2324</v>
      </c>
      <c r="U1166" s="30">
        <v>41761</v>
      </c>
    </row>
    <row r="1167" spans="20:21" x14ac:dyDescent="0.35">
      <c r="T1167" s="30">
        <v>2326</v>
      </c>
      <c r="U1167" s="30">
        <v>41791</v>
      </c>
    </row>
    <row r="1168" spans="20:21" x14ac:dyDescent="0.35">
      <c r="T1168" s="30">
        <v>2328</v>
      </c>
      <c r="U1168" s="30">
        <v>41821</v>
      </c>
    </row>
    <row r="1169" spans="20:21" x14ac:dyDescent="0.35">
      <c r="T1169" s="30">
        <v>2330</v>
      </c>
      <c r="U1169" s="30">
        <v>41851.5</v>
      </c>
    </row>
    <row r="1170" spans="20:21" x14ac:dyDescent="0.35">
      <c r="T1170" s="30">
        <v>2332</v>
      </c>
      <c r="U1170" s="30">
        <v>41882</v>
      </c>
    </row>
    <row r="1171" spans="20:21" x14ac:dyDescent="0.35">
      <c r="T1171" s="30">
        <v>2334</v>
      </c>
      <c r="U1171" s="30">
        <v>41912</v>
      </c>
    </row>
    <row r="1172" spans="20:21" x14ac:dyDescent="0.35">
      <c r="T1172" s="30">
        <v>2336</v>
      </c>
      <c r="U1172" s="30">
        <v>41942</v>
      </c>
    </row>
    <row r="1173" spans="20:21" x14ac:dyDescent="0.35">
      <c r="T1173" s="30">
        <v>2338</v>
      </c>
      <c r="U1173" s="30">
        <v>41972</v>
      </c>
    </row>
    <row r="1174" spans="20:21" x14ac:dyDescent="0.35">
      <c r="T1174" s="30">
        <v>2340</v>
      </c>
      <c r="U1174" s="30">
        <v>42002</v>
      </c>
    </row>
    <row r="1175" spans="20:21" x14ac:dyDescent="0.35">
      <c r="T1175" s="30">
        <v>2342</v>
      </c>
      <c r="U1175" s="30">
        <v>42032</v>
      </c>
    </row>
    <row r="1176" spans="20:21" x14ac:dyDescent="0.35">
      <c r="T1176" s="30">
        <v>2344</v>
      </c>
      <c r="U1176" s="30">
        <v>42062</v>
      </c>
    </row>
    <row r="1177" spans="20:21" x14ac:dyDescent="0.35">
      <c r="T1177" s="30">
        <v>2346</v>
      </c>
      <c r="U1177" s="30">
        <v>42091.5</v>
      </c>
    </row>
    <row r="1178" spans="20:21" x14ac:dyDescent="0.35">
      <c r="T1178" s="30">
        <v>2348</v>
      </c>
      <c r="U1178" s="30">
        <v>42121</v>
      </c>
    </row>
    <row r="1179" spans="20:21" x14ac:dyDescent="0.35">
      <c r="T1179" s="30">
        <v>2350</v>
      </c>
      <c r="U1179" s="30">
        <v>42151</v>
      </c>
    </row>
    <row r="1180" spans="20:21" x14ac:dyDescent="0.35">
      <c r="T1180" s="30">
        <v>2352</v>
      </c>
      <c r="U1180" s="30">
        <v>42181</v>
      </c>
    </row>
    <row r="1181" spans="20:21" x14ac:dyDescent="0.35">
      <c r="T1181" s="30">
        <v>2354</v>
      </c>
      <c r="U1181" s="30">
        <v>42210.5</v>
      </c>
    </row>
    <row r="1182" spans="20:21" x14ac:dyDescent="0.35">
      <c r="T1182" s="30">
        <v>2356</v>
      </c>
      <c r="U1182" s="30">
        <v>42240</v>
      </c>
    </row>
    <row r="1183" spans="20:21" x14ac:dyDescent="0.35">
      <c r="T1183" s="30">
        <v>2358</v>
      </c>
      <c r="U1183" s="30">
        <v>42269</v>
      </c>
    </row>
    <row r="1184" spans="20:21" x14ac:dyDescent="0.35">
      <c r="T1184" s="30">
        <v>2360</v>
      </c>
      <c r="U1184" s="30">
        <v>42298</v>
      </c>
    </row>
    <row r="1185" spans="20:21" x14ac:dyDescent="0.35">
      <c r="T1185" s="30">
        <v>2362</v>
      </c>
      <c r="U1185" s="30">
        <v>42327.5</v>
      </c>
    </row>
    <row r="1186" spans="20:21" x14ac:dyDescent="0.35">
      <c r="T1186" s="30">
        <v>2364</v>
      </c>
      <c r="U1186" s="30">
        <v>42357</v>
      </c>
    </row>
    <row r="1187" spans="20:21" x14ac:dyDescent="0.35">
      <c r="T1187" s="30">
        <v>2366</v>
      </c>
      <c r="U1187" s="30">
        <v>42386</v>
      </c>
    </row>
    <row r="1188" spans="20:21" x14ac:dyDescent="0.35">
      <c r="T1188" s="30">
        <v>2368</v>
      </c>
      <c r="U1188" s="30">
        <v>42415</v>
      </c>
    </row>
    <row r="1189" spans="20:21" x14ac:dyDescent="0.35">
      <c r="T1189" s="30">
        <v>2370</v>
      </c>
      <c r="U1189" s="30">
        <v>42444</v>
      </c>
    </row>
    <row r="1190" spans="20:21" x14ac:dyDescent="0.35">
      <c r="T1190" s="30">
        <v>2372</v>
      </c>
      <c r="U1190" s="30">
        <v>42473</v>
      </c>
    </row>
    <row r="1191" spans="20:21" x14ac:dyDescent="0.35">
      <c r="T1191" s="30">
        <v>2374</v>
      </c>
      <c r="U1191" s="30">
        <v>42501.5</v>
      </c>
    </row>
    <row r="1192" spans="20:21" x14ac:dyDescent="0.35">
      <c r="T1192" s="30">
        <v>2376</v>
      </c>
      <c r="U1192" s="30">
        <v>42530</v>
      </c>
    </row>
    <row r="1193" spans="20:21" x14ac:dyDescent="0.35">
      <c r="T1193" s="30">
        <v>2378</v>
      </c>
      <c r="U1193" s="30">
        <v>42558.5</v>
      </c>
    </row>
    <row r="1194" spans="20:21" x14ac:dyDescent="0.35">
      <c r="T1194" s="30">
        <v>2380</v>
      </c>
      <c r="U1194" s="30">
        <v>42587</v>
      </c>
    </row>
    <row r="1195" spans="20:21" x14ac:dyDescent="0.35">
      <c r="T1195" s="30">
        <v>2382</v>
      </c>
      <c r="U1195" s="30">
        <v>42615.5</v>
      </c>
    </row>
    <row r="1196" spans="20:21" x14ac:dyDescent="0.35">
      <c r="T1196" s="30">
        <v>2384</v>
      </c>
      <c r="U1196" s="30">
        <v>42644</v>
      </c>
    </row>
    <row r="1197" spans="20:21" x14ac:dyDescent="0.35">
      <c r="T1197" s="30">
        <v>2386</v>
      </c>
      <c r="U1197" s="30">
        <v>42672.5</v>
      </c>
    </row>
    <row r="1198" spans="20:21" x14ac:dyDescent="0.35">
      <c r="T1198" s="30">
        <v>2388</v>
      </c>
      <c r="U1198" s="30">
        <v>42701</v>
      </c>
    </row>
    <row r="1199" spans="20:21" x14ac:dyDescent="0.35">
      <c r="T1199" s="30">
        <v>2390</v>
      </c>
      <c r="U1199" s="30">
        <v>42729.5</v>
      </c>
    </row>
    <row r="1200" spans="20:21" x14ac:dyDescent="0.35">
      <c r="T1200" s="30">
        <v>2392</v>
      </c>
      <c r="U1200" s="30">
        <v>42758</v>
      </c>
    </row>
    <row r="1201" spans="20:21" x14ac:dyDescent="0.35">
      <c r="T1201" s="30">
        <v>2394</v>
      </c>
      <c r="U1201" s="30">
        <v>42786</v>
      </c>
    </row>
    <row r="1202" spans="20:21" x14ac:dyDescent="0.35">
      <c r="T1202" s="30">
        <v>2396</v>
      </c>
      <c r="U1202" s="30">
        <v>42814</v>
      </c>
    </row>
    <row r="1203" spans="20:21" x14ac:dyDescent="0.35">
      <c r="T1203" s="30">
        <v>2398</v>
      </c>
      <c r="U1203" s="30">
        <v>42842</v>
      </c>
    </row>
    <row r="1204" spans="20:21" x14ac:dyDescent="0.35">
      <c r="T1204" s="30">
        <v>2400</v>
      </c>
      <c r="U1204" s="30">
        <v>42870</v>
      </c>
    </row>
    <row r="1205" spans="20:21" x14ac:dyDescent="0.35">
      <c r="T1205" s="30">
        <v>2402</v>
      </c>
      <c r="U1205" s="30">
        <v>42897.5</v>
      </c>
    </row>
    <row r="1206" spans="20:21" x14ac:dyDescent="0.35">
      <c r="T1206" s="30">
        <v>2404</v>
      </c>
      <c r="U1206" s="30">
        <v>42925</v>
      </c>
    </row>
    <row r="1207" spans="20:21" x14ac:dyDescent="0.35">
      <c r="T1207" s="30">
        <v>2406</v>
      </c>
      <c r="U1207" s="30">
        <v>42952.5</v>
      </c>
    </row>
    <row r="1208" spans="20:21" x14ac:dyDescent="0.35">
      <c r="T1208" s="30">
        <v>2408</v>
      </c>
      <c r="U1208" s="30">
        <v>42980</v>
      </c>
    </row>
    <row r="1209" spans="20:21" x14ac:dyDescent="0.35">
      <c r="T1209" s="30">
        <v>2410</v>
      </c>
      <c r="U1209" s="30">
        <v>43007.5</v>
      </c>
    </row>
    <row r="1210" spans="20:21" x14ac:dyDescent="0.35">
      <c r="T1210" s="30">
        <v>2412</v>
      </c>
      <c r="U1210" s="30">
        <v>43035</v>
      </c>
    </row>
    <row r="1211" spans="20:21" x14ac:dyDescent="0.35">
      <c r="T1211" s="30">
        <v>2414</v>
      </c>
      <c r="U1211" s="30">
        <v>43062.5</v>
      </c>
    </row>
    <row r="1212" spans="20:21" x14ac:dyDescent="0.35">
      <c r="T1212" s="30">
        <v>2416</v>
      </c>
      <c r="U1212" s="30">
        <v>43090</v>
      </c>
    </row>
    <row r="1213" spans="20:21" x14ac:dyDescent="0.35">
      <c r="T1213" s="30">
        <v>2418</v>
      </c>
      <c r="U1213" s="30">
        <v>43117</v>
      </c>
    </row>
    <row r="1214" spans="20:21" x14ac:dyDescent="0.35">
      <c r="T1214" s="30">
        <v>2420</v>
      </c>
      <c r="U1214" s="30">
        <v>43144</v>
      </c>
    </row>
    <row r="1215" spans="20:21" x14ac:dyDescent="0.35">
      <c r="T1215" s="30">
        <v>2422</v>
      </c>
      <c r="U1215" s="30">
        <v>43171.5</v>
      </c>
    </row>
    <row r="1216" spans="20:21" x14ac:dyDescent="0.35">
      <c r="T1216" s="30">
        <v>2424</v>
      </c>
      <c r="U1216" s="30">
        <v>43199</v>
      </c>
    </row>
    <row r="1217" spans="20:21" x14ac:dyDescent="0.35">
      <c r="T1217" s="30">
        <v>2426</v>
      </c>
      <c r="U1217" s="30">
        <v>43225.5</v>
      </c>
    </row>
    <row r="1218" spans="20:21" x14ac:dyDescent="0.35">
      <c r="T1218" s="30">
        <v>2428</v>
      </c>
      <c r="U1218" s="30">
        <v>43252</v>
      </c>
    </row>
    <row r="1219" spans="20:21" x14ac:dyDescent="0.35">
      <c r="T1219" s="30">
        <v>2430</v>
      </c>
      <c r="U1219" s="30">
        <v>43279</v>
      </c>
    </row>
    <row r="1220" spans="20:21" x14ac:dyDescent="0.35">
      <c r="T1220" s="30">
        <v>2432</v>
      </c>
      <c r="U1220" s="30">
        <v>43306</v>
      </c>
    </row>
    <row r="1221" spans="20:21" x14ac:dyDescent="0.35">
      <c r="T1221" s="30">
        <v>2434</v>
      </c>
      <c r="U1221" s="30">
        <v>43332.5</v>
      </c>
    </row>
    <row r="1222" spans="20:21" x14ac:dyDescent="0.35">
      <c r="T1222" s="30">
        <v>2436</v>
      </c>
      <c r="U1222" s="30">
        <v>43359</v>
      </c>
    </row>
    <row r="1223" spans="20:21" x14ac:dyDescent="0.35">
      <c r="T1223" s="30">
        <v>2438</v>
      </c>
      <c r="U1223" s="30">
        <v>43385.5</v>
      </c>
    </row>
    <row r="1224" spans="20:21" x14ac:dyDescent="0.35">
      <c r="T1224" s="30">
        <v>2440</v>
      </c>
      <c r="U1224" s="30">
        <v>43412</v>
      </c>
    </row>
    <row r="1225" spans="20:21" x14ac:dyDescent="0.35">
      <c r="T1225" s="30">
        <v>2442</v>
      </c>
      <c r="U1225" s="30">
        <v>43438</v>
      </c>
    </row>
    <row r="1226" spans="20:21" x14ac:dyDescent="0.35">
      <c r="T1226" s="30">
        <v>2444</v>
      </c>
      <c r="U1226" s="30">
        <v>43464</v>
      </c>
    </row>
    <row r="1227" spans="20:21" x14ac:dyDescent="0.35">
      <c r="T1227" s="30">
        <v>2446</v>
      </c>
      <c r="U1227" s="30">
        <v>43490</v>
      </c>
    </row>
    <row r="1228" spans="20:21" x14ac:dyDescent="0.35">
      <c r="T1228" s="30">
        <v>2448</v>
      </c>
      <c r="U1228" s="30">
        <v>43516</v>
      </c>
    </row>
    <row r="1229" spans="20:21" x14ac:dyDescent="0.35">
      <c r="T1229" s="30">
        <v>2450</v>
      </c>
      <c r="U1229" s="30">
        <v>43542</v>
      </c>
    </row>
    <row r="1230" spans="20:21" x14ac:dyDescent="0.35">
      <c r="T1230" s="30">
        <v>2452</v>
      </c>
      <c r="U1230" s="30">
        <v>43568</v>
      </c>
    </row>
    <row r="1231" spans="20:21" x14ac:dyDescent="0.35">
      <c r="T1231" s="30">
        <v>2454</v>
      </c>
      <c r="U1231" s="30">
        <v>43593.5</v>
      </c>
    </row>
    <row r="1232" spans="20:21" x14ac:dyDescent="0.35">
      <c r="T1232" s="30">
        <v>2456</v>
      </c>
      <c r="U1232" s="30">
        <v>43619</v>
      </c>
    </row>
    <row r="1233" spans="20:21" x14ac:dyDescent="0.35">
      <c r="T1233" s="30">
        <v>2458</v>
      </c>
      <c r="U1233" s="30">
        <v>43644.5</v>
      </c>
    </row>
    <row r="1234" spans="20:21" x14ac:dyDescent="0.35">
      <c r="T1234" s="30">
        <v>2460</v>
      </c>
      <c r="U1234" s="30">
        <v>43670</v>
      </c>
    </row>
    <row r="1235" spans="20:21" x14ac:dyDescent="0.35">
      <c r="T1235" s="30">
        <v>2462</v>
      </c>
      <c r="U1235" s="30">
        <v>43695.5</v>
      </c>
    </row>
    <row r="1236" spans="20:21" x14ac:dyDescent="0.35">
      <c r="T1236" s="30">
        <v>2464</v>
      </c>
      <c r="U1236" s="30">
        <v>43721</v>
      </c>
    </row>
    <row r="1237" spans="20:21" x14ac:dyDescent="0.35">
      <c r="T1237" s="30">
        <v>2466</v>
      </c>
      <c r="U1237" s="30">
        <v>43746.5</v>
      </c>
    </row>
    <row r="1238" spans="20:21" x14ac:dyDescent="0.35">
      <c r="T1238" s="30">
        <v>2468</v>
      </c>
      <c r="U1238" s="30">
        <v>43772</v>
      </c>
    </row>
    <row r="1239" spans="20:21" x14ac:dyDescent="0.35">
      <c r="T1239" s="30">
        <v>2470</v>
      </c>
      <c r="U1239" s="30">
        <v>43797</v>
      </c>
    </row>
    <row r="1240" spans="20:21" x14ac:dyDescent="0.35">
      <c r="T1240" s="30">
        <v>2472</v>
      </c>
      <c r="U1240" s="30">
        <v>43822</v>
      </c>
    </row>
    <row r="1241" spans="20:21" x14ac:dyDescent="0.35">
      <c r="T1241" s="30">
        <v>2474</v>
      </c>
      <c r="U1241" s="30">
        <v>43846.5</v>
      </c>
    </row>
    <row r="1242" spans="20:21" x14ac:dyDescent="0.35">
      <c r="T1242" s="30">
        <v>2476</v>
      </c>
      <c r="U1242" s="30">
        <v>43871</v>
      </c>
    </row>
    <row r="1243" spans="20:21" x14ac:dyDescent="0.35">
      <c r="T1243" s="30">
        <v>2478</v>
      </c>
      <c r="U1243" s="30">
        <v>43896</v>
      </c>
    </row>
    <row r="1244" spans="20:21" x14ac:dyDescent="0.35">
      <c r="T1244" s="30">
        <v>2480</v>
      </c>
      <c r="U1244" s="30">
        <v>43921</v>
      </c>
    </row>
    <row r="1245" spans="20:21" x14ac:dyDescent="0.35">
      <c r="T1245" s="30">
        <v>2482</v>
      </c>
      <c r="U1245" s="30">
        <v>43945.5</v>
      </c>
    </row>
    <row r="1246" spans="20:21" x14ac:dyDescent="0.35">
      <c r="T1246" s="30">
        <v>2484</v>
      </c>
      <c r="U1246" s="30">
        <v>43970</v>
      </c>
    </row>
    <row r="1247" spans="20:21" x14ac:dyDescent="0.35">
      <c r="T1247" s="30">
        <v>2486</v>
      </c>
      <c r="U1247" s="30">
        <v>43994.5</v>
      </c>
    </row>
    <row r="1248" spans="20:21" x14ac:dyDescent="0.35">
      <c r="T1248" s="30">
        <v>2488</v>
      </c>
      <c r="U1248" s="30">
        <v>44019</v>
      </c>
    </row>
    <row r="1249" spans="20:21" x14ac:dyDescent="0.35">
      <c r="T1249" s="30">
        <v>2490</v>
      </c>
      <c r="U1249" s="30">
        <v>44043</v>
      </c>
    </row>
    <row r="1250" spans="20:21" x14ac:dyDescent="0.35">
      <c r="T1250" s="30">
        <v>2492</v>
      </c>
      <c r="U1250" s="30">
        <v>44067</v>
      </c>
    </row>
    <row r="1251" spans="20:21" x14ac:dyDescent="0.35">
      <c r="T1251" s="30">
        <v>2494</v>
      </c>
      <c r="U1251" s="30">
        <v>44091</v>
      </c>
    </row>
    <row r="1252" spans="20:21" x14ac:dyDescent="0.35">
      <c r="T1252" s="30">
        <v>2496</v>
      </c>
      <c r="U1252" s="30">
        <v>44115</v>
      </c>
    </row>
    <row r="1253" spans="20:21" x14ac:dyDescent="0.35">
      <c r="T1253" s="30">
        <v>2498</v>
      </c>
      <c r="U1253" s="30">
        <v>44138.5</v>
      </c>
    </row>
    <row r="1254" spans="20:21" x14ac:dyDescent="0.35">
      <c r="T1254" s="30">
        <v>2500</v>
      </c>
      <c r="U1254" s="30">
        <v>44162</v>
      </c>
    </row>
    <row r="1255" spans="20:21" x14ac:dyDescent="0.35">
      <c r="T1255" s="30">
        <v>2502</v>
      </c>
      <c r="U1255" s="30">
        <v>44185.5</v>
      </c>
    </row>
    <row r="1256" spans="20:21" x14ac:dyDescent="0.35">
      <c r="T1256" s="30">
        <v>2504</v>
      </c>
      <c r="U1256" s="30">
        <v>44209</v>
      </c>
    </row>
    <row r="1257" spans="20:21" x14ac:dyDescent="0.35">
      <c r="T1257" s="30">
        <v>2506</v>
      </c>
      <c r="U1257" s="30">
        <v>44232.5</v>
      </c>
    </row>
    <row r="1258" spans="20:21" x14ac:dyDescent="0.35">
      <c r="T1258" s="30">
        <v>2508</v>
      </c>
      <c r="U1258" s="30">
        <v>44256</v>
      </c>
    </row>
    <row r="1259" spans="20:21" x14ac:dyDescent="0.35">
      <c r="T1259" s="30">
        <v>2510</v>
      </c>
      <c r="U1259" s="30">
        <v>44279.5</v>
      </c>
    </row>
    <row r="1260" spans="20:21" x14ac:dyDescent="0.35">
      <c r="T1260" s="30">
        <v>2512</v>
      </c>
      <c r="U1260" s="30">
        <v>44303</v>
      </c>
    </row>
    <row r="1261" spans="20:21" x14ac:dyDescent="0.35">
      <c r="T1261" s="30">
        <v>2514</v>
      </c>
      <c r="U1261" s="30">
        <v>44326</v>
      </c>
    </row>
    <row r="1262" spans="20:21" x14ac:dyDescent="0.35">
      <c r="T1262" s="30">
        <v>2516</v>
      </c>
      <c r="U1262" s="30">
        <v>44349</v>
      </c>
    </row>
    <row r="1263" spans="20:21" x14ac:dyDescent="0.35">
      <c r="T1263" s="30">
        <v>2518</v>
      </c>
      <c r="U1263" s="30">
        <v>44371.5</v>
      </c>
    </row>
    <row r="1264" spans="20:21" x14ac:dyDescent="0.35">
      <c r="T1264" s="30">
        <v>2520</v>
      </c>
      <c r="U1264" s="30">
        <v>44394</v>
      </c>
    </row>
    <row r="1265" spans="20:21" x14ac:dyDescent="0.35">
      <c r="T1265" s="30">
        <v>2522</v>
      </c>
      <c r="U1265" s="30">
        <v>44416.5</v>
      </c>
    </row>
    <row r="1266" spans="20:21" x14ac:dyDescent="0.35">
      <c r="T1266" s="30">
        <v>2524</v>
      </c>
      <c r="U1266" s="30">
        <v>44439</v>
      </c>
    </row>
    <row r="1267" spans="20:21" x14ac:dyDescent="0.35">
      <c r="T1267" s="30">
        <v>2526</v>
      </c>
      <c r="U1267" s="30">
        <v>44461.5</v>
      </c>
    </row>
    <row r="1268" spans="20:21" x14ac:dyDescent="0.35">
      <c r="T1268" s="30">
        <v>2528</v>
      </c>
      <c r="U1268" s="30">
        <v>44484</v>
      </c>
    </row>
    <row r="1269" spans="20:21" x14ac:dyDescent="0.35">
      <c r="T1269" s="30">
        <v>2530</v>
      </c>
      <c r="U1269" s="30">
        <v>44506</v>
      </c>
    </row>
    <row r="1270" spans="20:21" x14ac:dyDescent="0.35">
      <c r="T1270" s="30">
        <v>2532</v>
      </c>
      <c r="U1270" s="30">
        <v>44528</v>
      </c>
    </row>
    <row r="1271" spans="20:21" x14ac:dyDescent="0.35">
      <c r="T1271" s="30">
        <v>2534</v>
      </c>
      <c r="U1271" s="30">
        <v>44550</v>
      </c>
    </row>
    <row r="1272" spans="20:21" x14ac:dyDescent="0.35">
      <c r="T1272" s="30">
        <v>2536</v>
      </c>
      <c r="U1272" s="30">
        <v>44572</v>
      </c>
    </row>
    <row r="1273" spans="20:21" x14ac:dyDescent="0.35">
      <c r="T1273" s="30">
        <v>2538</v>
      </c>
      <c r="U1273" s="30">
        <v>44594</v>
      </c>
    </row>
    <row r="1274" spans="20:21" x14ac:dyDescent="0.35">
      <c r="T1274" s="30">
        <v>2540</v>
      </c>
      <c r="U1274" s="30">
        <v>44616</v>
      </c>
    </row>
    <row r="1275" spans="20:21" x14ac:dyDescent="0.35">
      <c r="T1275" s="30">
        <v>2542</v>
      </c>
      <c r="U1275" s="30">
        <v>44637.5</v>
      </c>
    </row>
    <row r="1276" spans="20:21" x14ac:dyDescent="0.35">
      <c r="T1276" s="30">
        <v>2544</v>
      </c>
      <c r="U1276" s="30">
        <v>44659</v>
      </c>
    </row>
    <row r="1277" spans="20:21" x14ac:dyDescent="0.35">
      <c r="T1277" s="30">
        <v>2546</v>
      </c>
      <c r="U1277" s="30">
        <v>44680.5</v>
      </c>
    </row>
    <row r="1278" spans="20:21" x14ac:dyDescent="0.35">
      <c r="T1278" s="30">
        <v>2548</v>
      </c>
      <c r="U1278" s="30">
        <v>44702</v>
      </c>
    </row>
    <row r="1279" spans="20:21" x14ac:dyDescent="0.35">
      <c r="T1279" s="30">
        <v>2550</v>
      </c>
      <c r="U1279" s="30">
        <v>44723</v>
      </c>
    </row>
    <row r="1280" spans="20:21" x14ac:dyDescent="0.35">
      <c r="T1280" s="30">
        <v>2552</v>
      </c>
      <c r="U1280" s="30">
        <v>44744</v>
      </c>
    </row>
    <row r="1281" spans="20:21" x14ac:dyDescent="0.35">
      <c r="T1281" s="30">
        <v>2554</v>
      </c>
      <c r="U1281" s="30">
        <v>44765</v>
      </c>
    </row>
    <row r="1282" spans="20:21" x14ac:dyDescent="0.35">
      <c r="T1282" s="30">
        <v>2556</v>
      </c>
      <c r="U1282" s="30">
        <v>44786</v>
      </c>
    </row>
    <row r="1283" spans="20:21" x14ac:dyDescent="0.35">
      <c r="T1283" s="30">
        <v>2558</v>
      </c>
      <c r="U1283" s="30">
        <v>44806.5</v>
      </c>
    </row>
    <row r="1284" spans="20:21" x14ac:dyDescent="0.35">
      <c r="T1284" s="30">
        <v>2560</v>
      </c>
      <c r="U1284" s="30">
        <v>44827</v>
      </c>
    </row>
    <row r="1285" spans="20:21" x14ac:dyDescent="0.35">
      <c r="T1285" s="30">
        <v>2562</v>
      </c>
      <c r="U1285" s="30">
        <v>44847.5</v>
      </c>
    </row>
    <row r="1286" spans="20:21" x14ac:dyDescent="0.35">
      <c r="T1286" s="30">
        <v>2564</v>
      </c>
      <c r="U1286" s="30">
        <v>44868</v>
      </c>
    </row>
    <row r="1287" spans="20:21" x14ac:dyDescent="0.35">
      <c r="T1287" s="30">
        <v>2566</v>
      </c>
      <c r="U1287" s="30">
        <v>44888</v>
      </c>
    </row>
    <row r="1288" spans="20:21" x14ac:dyDescent="0.35">
      <c r="T1288" s="30">
        <v>2568</v>
      </c>
      <c r="U1288" s="30">
        <v>44908</v>
      </c>
    </row>
    <row r="1289" spans="20:21" x14ac:dyDescent="0.35">
      <c r="T1289" s="30">
        <v>2570</v>
      </c>
      <c r="U1289" s="30">
        <v>44928</v>
      </c>
    </row>
    <row r="1290" spans="20:21" x14ac:dyDescent="0.35">
      <c r="T1290" s="30">
        <v>2572</v>
      </c>
      <c r="U1290" s="30">
        <v>44948</v>
      </c>
    </row>
    <row r="1291" spans="20:21" x14ac:dyDescent="0.35">
      <c r="T1291" s="30">
        <v>2574</v>
      </c>
      <c r="U1291" s="30">
        <v>44968</v>
      </c>
    </row>
    <row r="1292" spans="20:21" x14ac:dyDescent="0.35">
      <c r="T1292" s="30">
        <v>2576</v>
      </c>
      <c r="U1292" s="30">
        <v>44988</v>
      </c>
    </row>
    <row r="1293" spans="20:21" x14ac:dyDescent="0.35">
      <c r="T1293" s="30">
        <v>2578</v>
      </c>
      <c r="U1293" s="30">
        <v>45007</v>
      </c>
    </row>
    <row r="1294" spans="20:21" x14ac:dyDescent="0.35">
      <c r="T1294" s="30">
        <v>2580</v>
      </c>
      <c r="U1294" s="30">
        <v>45026</v>
      </c>
    </row>
    <row r="1295" spans="20:21" x14ac:dyDescent="0.35">
      <c r="T1295" s="30">
        <v>2582</v>
      </c>
      <c r="U1295" s="30">
        <v>45045.5</v>
      </c>
    </row>
    <row r="1296" spans="20:21" x14ac:dyDescent="0.35">
      <c r="T1296" s="30">
        <v>2584</v>
      </c>
      <c r="U1296" s="30">
        <v>45065</v>
      </c>
    </row>
    <row r="1297" spans="20:21" x14ac:dyDescent="0.35">
      <c r="T1297" s="30">
        <v>2586</v>
      </c>
      <c r="U1297" s="30">
        <v>45084</v>
      </c>
    </row>
    <row r="1298" spans="20:21" x14ac:dyDescent="0.35">
      <c r="T1298" s="30">
        <v>2588</v>
      </c>
      <c r="U1298" s="30">
        <v>45103</v>
      </c>
    </row>
    <row r="1299" spans="20:21" x14ac:dyDescent="0.35">
      <c r="T1299" s="30">
        <v>2590</v>
      </c>
      <c r="U1299" s="30">
        <v>45121.5</v>
      </c>
    </row>
    <row r="1300" spans="20:21" x14ac:dyDescent="0.35">
      <c r="T1300" s="30">
        <v>2592</v>
      </c>
      <c r="U1300" s="30">
        <v>45140</v>
      </c>
    </row>
    <row r="1301" spans="20:21" x14ac:dyDescent="0.35">
      <c r="T1301" s="30">
        <v>2594</v>
      </c>
      <c r="U1301" s="30">
        <v>45158.5</v>
      </c>
    </row>
    <row r="1302" spans="20:21" x14ac:dyDescent="0.35">
      <c r="T1302" s="30">
        <v>2596</v>
      </c>
      <c r="U1302" s="30">
        <v>45177</v>
      </c>
    </row>
    <row r="1303" spans="20:21" x14ac:dyDescent="0.35">
      <c r="T1303" s="30">
        <v>2598</v>
      </c>
      <c r="U1303" s="30">
        <v>45195.5</v>
      </c>
    </row>
    <row r="1304" spans="20:21" x14ac:dyDescent="0.35">
      <c r="T1304" s="30">
        <v>2600</v>
      </c>
      <c r="U1304" s="30">
        <v>45214</v>
      </c>
    </row>
    <row r="1305" spans="20:21" x14ac:dyDescent="0.35">
      <c r="T1305" s="30">
        <v>2602</v>
      </c>
      <c r="U1305" s="30">
        <v>45231.5</v>
      </c>
    </row>
    <row r="1306" spans="20:21" x14ac:dyDescent="0.35">
      <c r="T1306" s="30">
        <v>2604</v>
      </c>
      <c r="U1306" s="30">
        <v>45249</v>
      </c>
    </row>
    <row r="1307" spans="20:21" x14ac:dyDescent="0.35">
      <c r="T1307" s="30">
        <v>2606</v>
      </c>
      <c r="U1307" s="30">
        <v>45267</v>
      </c>
    </row>
    <row r="1308" spans="20:21" x14ac:dyDescent="0.35">
      <c r="T1308" s="30">
        <v>2608</v>
      </c>
      <c r="U1308" s="30">
        <v>45285</v>
      </c>
    </row>
    <row r="1309" spans="20:21" x14ac:dyDescent="0.35">
      <c r="T1309" s="30">
        <v>2610</v>
      </c>
      <c r="U1309" s="30">
        <v>45302</v>
      </c>
    </row>
    <row r="1310" spans="20:21" x14ac:dyDescent="0.35">
      <c r="T1310" s="30">
        <v>2612</v>
      </c>
      <c r="U1310" s="30">
        <v>45319</v>
      </c>
    </row>
    <row r="1311" spans="20:21" x14ac:dyDescent="0.35">
      <c r="T1311" s="30">
        <v>2614</v>
      </c>
      <c r="U1311" s="30">
        <v>45336.5</v>
      </c>
    </row>
    <row r="1312" spans="20:21" x14ac:dyDescent="0.35">
      <c r="T1312" s="30">
        <v>2616</v>
      </c>
      <c r="U1312" s="30">
        <v>45354</v>
      </c>
    </row>
    <row r="1313" spans="20:21" x14ac:dyDescent="0.35">
      <c r="T1313" s="30">
        <v>2618</v>
      </c>
      <c r="U1313" s="30">
        <v>45370.5</v>
      </c>
    </row>
    <row r="1314" spans="20:21" x14ac:dyDescent="0.35">
      <c r="T1314" s="30">
        <v>2620</v>
      </c>
      <c r="U1314" s="30">
        <v>45387</v>
      </c>
    </row>
    <row r="1315" spans="20:21" x14ac:dyDescent="0.35">
      <c r="T1315" s="30">
        <v>2622</v>
      </c>
      <c r="U1315" s="30">
        <v>45403.5</v>
      </c>
    </row>
    <row r="1316" spans="20:21" x14ac:dyDescent="0.35">
      <c r="T1316" s="30">
        <v>2624</v>
      </c>
      <c r="U1316" s="30">
        <v>45420</v>
      </c>
    </row>
    <row r="1317" spans="20:21" x14ac:dyDescent="0.35">
      <c r="T1317" s="30">
        <v>2626</v>
      </c>
      <c r="U1317" s="30">
        <v>45436</v>
      </c>
    </row>
    <row r="1318" spans="20:21" x14ac:dyDescent="0.35">
      <c r="T1318" s="30">
        <v>2628</v>
      </c>
      <c r="U1318" s="30">
        <v>45452</v>
      </c>
    </row>
    <row r="1319" spans="20:21" x14ac:dyDescent="0.35">
      <c r="T1319" s="30">
        <v>2630</v>
      </c>
      <c r="U1319" s="30">
        <v>45468</v>
      </c>
    </row>
    <row r="1320" spans="20:21" x14ac:dyDescent="0.35">
      <c r="T1320" s="30">
        <v>2632</v>
      </c>
      <c r="U1320" s="30">
        <v>45484</v>
      </c>
    </row>
    <row r="1321" spans="20:21" x14ac:dyDescent="0.35">
      <c r="T1321" s="30">
        <v>2634</v>
      </c>
      <c r="U1321" s="30">
        <v>45499.5</v>
      </c>
    </row>
    <row r="1322" spans="20:21" x14ac:dyDescent="0.35">
      <c r="T1322" s="30">
        <v>2636</v>
      </c>
      <c r="U1322" s="30">
        <v>45515</v>
      </c>
    </row>
    <row r="1323" spans="20:21" x14ac:dyDescent="0.35">
      <c r="T1323" s="30">
        <v>2638</v>
      </c>
      <c r="U1323" s="30">
        <v>45530.5</v>
      </c>
    </row>
    <row r="1324" spans="20:21" x14ac:dyDescent="0.35">
      <c r="T1324" s="30">
        <v>2640</v>
      </c>
      <c r="U1324" s="30">
        <v>45546</v>
      </c>
    </row>
    <row r="1325" spans="20:21" x14ac:dyDescent="0.35">
      <c r="T1325" s="30">
        <v>2642</v>
      </c>
      <c r="U1325" s="30">
        <v>45561</v>
      </c>
    </row>
    <row r="1326" spans="20:21" x14ac:dyDescent="0.35">
      <c r="T1326" s="30">
        <v>2644</v>
      </c>
      <c r="U1326" s="30">
        <v>45576</v>
      </c>
    </row>
    <row r="1327" spans="20:21" x14ac:dyDescent="0.35">
      <c r="T1327" s="30">
        <v>2646</v>
      </c>
      <c r="U1327" s="30">
        <v>45590.5</v>
      </c>
    </row>
    <row r="1328" spans="20:21" x14ac:dyDescent="0.35">
      <c r="T1328" s="30">
        <v>2648</v>
      </c>
      <c r="U1328" s="30">
        <v>45605</v>
      </c>
    </row>
    <row r="1329" spans="20:21" x14ac:dyDescent="0.35">
      <c r="T1329" s="30">
        <v>2650</v>
      </c>
      <c r="U1329" s="30">
        <v>45619</v>
      </c>
    </row>
    <row r="1330" spans="20:21" x14ac:dyDescent="0.35">
      <c r="T1330" s="30">
        <v>2652</v>
      </c>
      <c r="U1330" s="30">
        <v>45633</v>
      </c>
    </row>
    <row r="1331" spans="20:21" x14ac:dyDescent="0.35">
      <c r="T1331" s="30">
        <v>2654</v>
      </c>
      <c r="U1331" s="30">
        <v>45647</v>
      </c>
    </row>
    <row r="1332" spans="20:21" x14ac:dyDescent="0.35">
      <c r="T1332" s="30">
        <v>2656</v>
      </c>
      <c r="U1332" s="30">
        <v>45661</v>
      </c>
    </row>
    <row r="1333" spans="20:21" x14ac:dyDescent="0.35">
      <c r="T1333" s="30">
        <v>2658</v>
      </c>
      <c r="U1333" s="30">
        <v>45674.5</v>
      </c>
    </row>
    <row r="1334" spans="20:21" x14ac:dyDescent="0.35">
      <c r="T1334" s="30">
        <v>2660</v>
      </c>
      <c r="U1334" s="30">
        <v>45688</v>
      </c>
    </row>
    <row r="1335" spans="20:21" x14ac:dyDescent="0.35">
      <c r="T1335" s="30">
        <v>2662</v>
      </c>
      <c r="U1335" s="30">
        <v>45701</v>
      </c>
    </row>
    <row r="1336" spans="20:21" x14ac:dyDescent="0.35">
      <c r="T1336" s="30">
        <v>2664</v>
      </c>
      <c r="U1336" s="30">
        <v>45714</v>
      </c>
    </row>
    <row r="1337" spans="20:21" x14ac:dyDescent="0.35">
      <c r="T1337" s="30">
        <v>2666</v>
      </c>
      <c r="U1337" s="30">
        <v>45726.5</v>
      </c>
    </row>
    <row r="1338" spans="20:21" x14ac:dyDescent="0.35">
      <c r="T1338" s="30">
        <v>2668</v>
      </c>
      <c r="U1338" s="30">
        <v>45739</v>
      </c>
    </row>
    <row r="1339" spans="20:21" x14ac:dyDescent="0.35">
      <c r="T1339" s="30">
        <v>2670</v>
      </c>
      <c r="U1339" s="30">
        <v>45751.5</v>
      </c>
    </row>
    <row r="1340" spans="20:21" x14ac:dyDescent="0.35">
      <c r="T1340" s="30">
        <v>2672</v>
      </c>
      <c r="U1340" s="30">
        <v>45764</v>
      </c>
    </row>
    <row r="1341" spans="20:21" x14ac:dyDescent="0.35">
      <c r="T1341" s="30">
        <v>2674</v>
      </c>
      <c r="U1341" s="30">
        <v>45776</v>
      </c>
    </row>
    <row r="1342" spans="20:21" x14ac:dyDescent="0.35">
      <c r="T1342" s="30">
        <v>2676</v>
      </c>
      <c r="U1342" s="30">
        <v>45788</v>
      </c>
    </row>
    <row r="1343" spans="20:21" x14ac:dyDescent="0.35">
      <c r="T1343" s="30">
        <v>2678</v>
      </c>
      <c r="U1343" s="30">
        <v>45799</v>
      </c>
    </row>
    <row r="1344" spans="20:21" x14ac:dyDescent="0.35">
      <c r="T1344" s="30">
        <v>2680</v>
      </c>
      <c r="U1344" s="30">
        <v>45810</v>
      </c>
    </row>
    <row r="1345" spans="20:21" x14ac:dyDescent="0.35">
      <c r="T1345" s="30">
        <v>2682</v>
      </c>
      <c r="U1345" s="30">
        <v>45821</v>
      </c>
    </row>
    <row r="1346" spans="20:21" x14ac:dyDescent="0.35">
      <c r="T1346" s="30">
        <v>2684</v>
      </c>
      <c r="U1346" s="30">
        <v>45832</v>
      </c>
    </row>
    <row r="1347" spans="20:21" x14ac:dyDescent="0.35">
      <c r="T1347" s="30">
        <v>2686</v>
      </c>
      <c r="U1347" s="30">
        <v>45842.5</v>
      </c>
    </row>
    <row r="1348" spans="20:21" x14ac:dyDescent="0.35">
      <c r="T1348" s="30">
        <v>2688</v>
      </c>
      <c r="U1348" s="30">
        <v>45853</v>
      </c>
    </row>
    <row r="1349" spans="20:21" x14ac:dyDescent="0.35">
      <c r="T1349" s="30">
        <v>2690</v>
      </c>
      <c r="U1349" s="30">
        <v>45863</v>
      </c>
    </row>
    <row r="1350" spans="20:21" x14ac:dyDescent="0.35">
      <c r="T1350" s="30">
        <v>2692</v>
      </c>
      <c r="U1350" s="30">
        <v>45873</v>
      </c>
    </row>
    <row r="1351" spans="20:21" x14ac:dyDescent="0.35">
      <c r="T1351" s="30">
        <v>2694</v>
      </c>
      <c r="U1351" s="30">
        <v>45882.5</v>
      </c>
    </row>
    <row r="1352" spans="20:21" x14ac:dyDescent="0.35">
      <c r="T1352" s="30">
        <v>2696</v>
      </c>
      <c r="U1352" s="30">
        <v>45892</v>
      </c>
    </row>
    <row r="1353" spans="20:21" x14ac:dyDescent="0.35">
      <c r="T1353" s="30">
        <v>2698</v>
      </c>
      <c r="U1353" s="30">
        <v>45901</v>
      </c>
    </row>
    <row r="1354" spans="20:21" x14ac:dyDescent="0.35">
      <c r="T1354" s="30">
        <v>2700</v>
      </c>
      <c r="U1354" s="30">
        <v>45910</v>
      </c>
    </row>
    <row r="1355" spans="20:21" x14ac:dyDescent="0.35">
      <c r="T1355" s="30">
        <v>2702</v>
      </c>
      <c r="U1355" s="30">
        <v>45918</v>
      </c>
    </row>
    <row r="1356" spans="20:21" x14ac:dyDescent="0.35">
      <c r="T1356" s="30">
        <v>2704</v>
      </c>
      <c r="U1356" s="30">
        <v>45926</v>
      </c>
    </row>
    <row r="1357" spans="20:21" x14ac:dyDescent="0.35">
      <c r="T1357" s="30">
        <v>2706</v>
      </c>
      <c r="U1357" s="30">
        <v>45933.5</v>
      </c>
    </row>
    <row r="1358" spans="20:21" x14ac:dyDescent="0.35">
      <c r="T1358" s="30">
        <v>2708</v>
      </c>
      <c r="U1358" s="30">
        <v>45941</v>
      </c>
    </row>
    <row r="1359" spans="20:21" x14ac:dyDescent="0.35">
      <c r="T1359" s="30">
        <v>2710</v>
      </c>
      <c r="U1359" s="30">
        <v>45948</v>
      </c>
    </row>
    <row r="1360" spans="20:21" x14ac:dyDescent="0.35">
      <c r="T1360" s="30">
        <v>2712</v>
      </c>
      <c r="U1360" s="30">
        <v>45955</v>
      </c>
    </row>
    <row r="1361" spans="20:21" x14ac:dyDescent="0.35">
      <c r="T1361" s="30">
        <v>2714</v>
      </c>
      <c r="U1361" s="30">
        <v>45961</v>
      </c>
    </row>
    <row r="1362" spans="20:21" x14ac:dyDescent="0.35">
      <c r="T1362" s="30">
        <v>2716</v>
      </c>
      <c r="U1362" s="30">
        <v>45967</v>
      </c>
    </row>
    <row r="1363" spans="20:21" x14ac:dyDescent="0.35">
      <c r="T1363" s="30">
        <v>2718</v>
      </c>
      <c r="U1363" s="30">
        <v>45972</v>
      </c>
    </row>
    <row r="1364" spans="20:21" x14ac:dyDescent="0.35">
      <c r="T1364" s="30">
        <v>2720</v>
      </c>
      <c r="U1364" s="30">
        <v>45977</v>
      </c>
    </row>
    <row r="1365" spans="20:21" x14ac:dyDescent="0.35">
      <c r="T1365" s="30">
        <v>2722</v>
      </c>
      <c r="U1365" s="30">
        <v>45981</v>
      </c>
    </row>
    <row r="1366" spans="20:21" x14ac:dyDescent="0.35">
      <c r="T1366" s="30">
        <v>2724</v>
      </c>
      <c r="U1366" s="30">
        <v>45985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39:F44"/>
  </mergeCells>
  <pageMargins left="0.7" right="0.7" top="0.75" bottom="0.75" header="0.3" footer="0.3"/>
  <ignoredErrors>
    <ignoredError sqref="S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4F9-1DDE-4196-8EB0-946EEAF9035E}">
  <sheetPr codeName="Sheet5"/>
  <dimension ref="A1:J35"/>
  <sheetViews>
    <sheetView workbookViewId="0">
      <selection activeCell="C33" sqref="C33:J33"/>
    </sheetView>
  </sheetViews>
  <sheetFormatPr defaultRowHeight="14.5" x14ac:dyDescent="0.35"/>
  <cols>
    <col min="1" max="1" width="10.08984375" bestFit="1" customWidth="1"/>
    <col min="2" max="2" width="12.6328125" hidden="1" customWidth="1"/>
    <col min="3" max="6" width="12.6328125" customWidth="1"/>
    <col min="7" max="7" width="14.08984375" customWidth="1"/>
    <col min="8" max="9" width="14" customWidth="1"/>
    <col min="10" max="10" width="14.7265625" customWidth="1"/>
  </cols>
  <sheetData>
    <row r="1" spans="1:10" ht="43.5" x14ac:dyDescent="0.35">
      <c r="A1" s="1" t="s">
        <v>0</v>
      </c>
      <c r="B1" s="2" t="s">
        <v>19</v>
      </c>
      <c r="C1" s="2" t="s">
        <v>29</v>
      </c>
      <c r="D1" s="2" t="s">
        <v>30</v>
      </c>
      <c r="E1" s="2" t="s">
        <v>55</v>
      </c>
      <c r="F1" s="16" t="s">
        <v>53</v>
      </c>
      <c r="G1" s="16" t="s">
        <v>54</v>
      </c>
      <c r="H1" s="16" t="s">
        <v>57</v>
      </c>
      <c r="I1" s="16" t="s">
        <v>58</v>
      </c>
      <c r="J1" s="16" t="s">
        <v>56</v>
      </c>
    </row>
    <row r="2" spans="1:10" hidden="1" x14ac:dyDescent="0.35">
      <c r="A2" s="4">
        <v>46202</v>
      </c>
      <c r="B2" s="5"/>
      <c r="C2" s="7">
        <v>24027090</v>
      </c>
      <c r="D2" s="5">
        <v>5660</v>
      </c>
      <c r="E2" s="20">
        <v>9743</v>
      </c>
      <c r="F2" s="5">
        <v>3203489</v>
      </c>
      <c r="G2" s="23">
        <f>'[2]PowerHouse Data'!$AG$14</f>
        <v>300343</v>
      </c>
      <c r="H2" s="23">
        <v>7746</v>
      </c>
      <c r="I2" s="20">
        <v>1997</v>
      </c>
      <c r="J2" s="20">
        <v>-4083</v>
      </c>
    </row>
    <row r="3" spans="1:10" ht="18" hidden="1" customHeight="1" x14ac:dyDescent="0.35">
      <c r="A3" s="4">
        <v>46203</v>
      </c>
      <c r="B3" s="5" t="s">
        <v>31</v>
      </c>
      <c r="C3" s="5">
        <f>'PowerHouse Data'!$D$3</f>
        <v>24035940</v>
      </c>
      <c r="D3" s="5">
        <f>Table1135[[#This Row],[NEPA FINAL]]-C2</f>
        <v>8850</v>
      </c>
      <c r="E3" s="5">
        <f>(Table1135[[#This Row],[MILLING]]-F2)+(Table1135[[#This Row],[UTILITY / PARBOILING]]-G2)</f>
        <v>14326</v>
      </c>
      <c r="F3" s="5">
        <f>'PowerHouse Data'!$D$10</f>
        <v>3212587</v>
      </c>
      <c r="G3" s="5">
        <f>'PowerHouse Data'!$D$11</f>
        <v>305571</v>
      </c>
      <c r="H3" s="5">
        <f>Table1135[[#This Row],[MILLING]]-F2</f>
        <v>9098</v>
      </c>
      <c r="I3" s="5">
        <f>Table1135[[#This Row],[UTILITY / PARBOILING]]-G2</f>
        <v>5228</v>
      </c>
      <c r="J3" s="5">
        <f>Table1135[[#This Row],[MILLING + UTILITY / PARBOILING]]-Table1135[[#This Row],[NEPA Consumption (KWH)]]</f>
        <v>5476</v>
      </c>
    </row>
    <row r="4" spans="1:10" ht="18" customHeight="1" x14ac:dyDescent="0.35">
      <c r="A4" s="4">
        <v>46204</v>
      </c>
      <c r="B4" s="5" t="s">
        <v>31</v>
      </c>
      <c r="C4" s="5">
        <f>'PowerHouse Data'!$E$3</f>
        <v>24047800</v>
      </c>
      <c r="D4" s="5">
        <f>Table1135[[#This Row],[NEPA FINAL]]-C3</f>
        <v>11860</v>
      </c>
      <c r="E4" s="5">
        <f>(Table1135[[#This Row],[MILLING]]-F3)+(Table1135[[#This Row],[UTILITY / PARBOILING]]-G3)</f>
        <v>19190</v>
      </c>
      <c r="F4" s="5">
        <f>'PowerHouse Data'!$E$10</f>
        <v>3224858</v>
      </c>
      <c r="G4" s="5">
        <f>'PowerHouse Data'!$E$11</f>
        <v>312490</v>
      </c>
      <c r="H4" s="5">
        <f>Table1135[[#This Row],[MILLING]]-F3</f>
        <v>12271</v>
      </c>
      <c r="I4" s="5">
        <f>Table1135[[#This Row],[UTILITY / PARBOILING]]-G3</f>
        <v>6919</v>
      </c>
      <c r="J4" s="5">
        <f>Table1135[[#This Row],[MILLING + UTILITY / PARBOILING]]-Table1135[[#This Row],[NEPA Consumption (KWH)]]</f>
        <v>7330</v>
      </c>
    </row>
    <row r="5" spans="1:10" ht="18" customHeight="1" x14ac:dyDescent="0.35">
      <c r="A5" s="4">
        <v>46205</v>
      </c>
      <c r="B5" s="5" t="s">
        <v>31</v>
      </c>
      <c r="C5" s="5">
        <f>'PowerHouse Data'!$F$3</f>
        <v>24056350</v>
      </c>
      <c r="D5" s="5">
        <f>Table1135[[#This Row],[NEPA FINAL]]-C4</f>
        <v>8550</v>
      </c>
      <c r="E5" s="5">
        <f>(Table1135[[#This Row],[MILLING]]-F4)+(Table1135[[#This Row],[UTILITY / PARBOILING]]-G4)</f>
        <v>14280</v>
      </c>
      <c r="F5" s="5">
        <f>'PowerHouse Data'!$F$10</f>
        <v>3234941</v>
      </c>
      <c r="G5" s="5">
        <f>'PowerHouse Data'!$F$11</f>
        <v>316687</v>
      </c>
      <c r="H5" s="5">
        <f>Table1135[[#This Row],[MILLING]]-F4</f>
        <v>10083</v>
      </c>
      <c r="I5" s="5">
        <f>Table1135[[#This Row],[UTILITY / PARBOILING]]-G4</f>
        <v>4197</v>
      </c>
      <c r="J5" s="5">
        <f>Table1135[[#This Row],[MILLING + UTILITY / PARBOILING]]-Table1135[[#This Row],[NEPA Consumption (KWH)]]</f>
        <v>5730</v>
      </c>
    </row>
    <row r="6" spans="1:10" ht="18" customHeight="1" x14ac:dyDescent="0.35">
      <c r="A6" s="4">
        <v>46206</v>
      </c>
      <c r="B6" s="5" t="s">
        <v>31</v>
      </c>
      <c r="C6" s="5">
        <f>'PowerHouse Data'!$G$3</f>
        <v>24067960</v>
      </c>
      <c r="D6" s="5">
        <f>Table1135[[#This Row],[NEPA FINAL]]-C5</f>
        <v>11610</v>
      </c>
      <c r="E6" s="5">
        <f>(Table1135[[#This Row],[MILLING]]-F5)+(Table1135[[#This Row],[UTILITY / PARBOILING]]-G5)</f>
        <v>18930</v>
      </c>
      <c r="F6" s="5">
        <f>'PowerHouse Data'!$G$10</f>
        <v>3247093</v>
      </c>
      <c r="G6" s="5">
        <f>'PowerHouse Data'!$G$11</f>
        <v>323465</v>
      </c>
      <c r="H6" s="5">
        <f>Table1135[[#This Row],[MILLING]]-F5</f>
        <v>12152</v>
      </c>
      <c r="I6" s="5">
        <f>Table1135[[#This Row],[UTILITY / PARBOILING]]-G5</f>
        <v>6778</v>
      </c>
      <c r="J6" s="5">
        <f>Table1135[[#This Row],[MILLING + UTILITY / PARBOILING]]-Table1135[[#This Row],[NEPA Consumption (KWH)]]</f>
        <v>7320</v>
      </c>
    </row>
    <row r="7" spans="1:10" ht="18" customHeight="1" x14ac:dyDescent="0.35">
      <c r="A7" s="4">
        <v>46207</v>
      </c>
      <c r="B7" s="5" t="s">
        <v>31</v>
      </c>
      <c r="C7" s="5">
        <f>'PowerHouse Data'!$H$3</f>
        <v>24073080</v>
      </c>
      <c r="D7" s="5">
        <f>Table1135[[#This Row],[NEPA FINAL]]-C6</f>
        <v>5120</v>
      </c>
      <c r="E7" s="5">
        <f>(Table1135[[#This Row],[MILLING]]-F6)+(Table1135[[#This Row],[UTILITY / PARBOILING]]-G6)</f>
        <v>7759</v>
      </c>
      <c r="F7" s="5">
        <f>'PowerHouse Data'!$H$10</f>
        <v>3251491</v>
      </c>
      <c r="G7" s="5">
        <f>'PowerHouse Data'!$H$11</f>
        <v>326826</v>
      </c>
      <c r="H7" s="5">
        <f>Table1135[[#This Row],[MILLING]]-F6</f>
        <v>4398</v>
      </c>
      <c r="I7" s="5">
        <f>Table1135[[#This Row],[UTILITY / PARBOILING]]-G6</f>
        <v>3361</v>
      </c>
      <c r="J7" s="5">
        <f>Table1135[[#This Row],[MILLING + UTILITY / PARBOILING]]-Table1135[[#This Row],[NEPA Consumption (KWH)]]</f>
        <v>2639</v>
      </c>
    </row>
    <row r="8" spans="1:10" ht="18" customHeight="1" x14ac:dyDescent="0.35">
      <c r="A8" s="4">
        <v>46208</v>
      </c>
      <c r="B8" s="5" t="s">
        <v>31</v>
      </c>
      <c r="C8" s="5">
        <f>'PowerHouse Data'!$I$3</f>
        <v>24073990</v>
      </c>
      <c r="D8" s="5">
        <f>Table1135[[#This Row],[NEPA FINAL]]-C7</f>
        <v>910</v>
      </c>
      <c r="E8" s="5">
        <f>(Table1135[[#This Row],[MILLING]]-F7)+(Table1135[[#This Row],[UTILITY / PARBOILING]]-G7)</f>
        <v>1483</v>
      </c>
      <c r="F8" s="5">
        <f>'PowerHouse Data'!$I$10</f>
        <v>3252272</v>
      </c>
      <c r="G8" s="5">
        <f>'PowerHouse Data'!$I$11</f>
        <v>327528</v>
      </c>
      <c r="H8" s="5">
        <f>Table1135[[#This Row],[MILLING]]-F7</f>
        <v>781</v>
      </c>
      <c r="I8" s="5">
        <f>Table1135[[#This Row],[UTILITY / PARBOILING]]-G7</f>
        <v>702</v>
      </c>
      <c r="J8" s="5">
        <f>Table1135[[#This Row],[MILLING + UTILITY / PARBOILING]]-Table1135[[#This Row],[NEPA Consumption (KWH)]]</f>
        <v>573</v>
      </c>
    </row>
    <row r="9" spans="1:10" ht="18" customHeight="1" x14ac:dyDescent="0.35">
      <c r="A9" s="4">
        <v>46209</v>
      </c>
      <c r="B9" s="5" t="s">
        <v>31</v>
      </c>
      <c r="C9" s="5">
        <f>'PowerHouse Data'!$J$3</f>
        <v>24082600</v>
      </c>
      <c r="D9" s="5">
        <f>Table1135[[#This Row],[NEPA FINAL]]-C8</f>
        <v>8610</v>
      </c>
      <c r="E9" s="5">
        <f>(Table1135[[#This Row],[MILLING]]-F8)+(Table1135[[#This Row],[UTILITY / PARBOILING]]-G8)</f>
        <v>14593</v>
      </c>
      <c r="F9" s="5">
        <f>'PowerHouse Data'!$J$10</f>
        <v>3263073</v>
      </c>
      <c r="G9" s="5">
        <f>'PowerHouse Data'!$J$11</f>
        <v>331320</v>
      </c>
      <c r="H9" s="5">
        <f>Table1135[[#This Row],[MILLING]]-F8</f>
        <v>10801</v>
      </c>
      <c r="I9" s="5">
        <f>Table1135[[#This Row],[UTILITY / PARBOILING]]-G8</f>
        <v>3792</v>
      </c>
      <c r="J9" s="5">
        <f>Table1135[[#This Row],[MILLING + UTILITY / PARBOILING]]-Table1135[[#This Row],[NEPA Consumption (KWH)]]</f>
        <v>5983</v>
      </c>
    </row>
    <row r="10" spans="1:10" ht="18" customHeight="1" x14ac:dyDescent="0.35">
      <c r="A10" s="4">
        <v>46210</v>
      </c>
      <c r="B10" s="5" t="s">
        <v>31</v>
      </c>
      <c r="C10" s="5">
        <f>'PowerHouse Data'!$K$3</f>
        <v>24093790</v>
      </c>
      <c r="D10" s="5">
        <f>Table1135[[#This Row],[NEPA FINAL]]-C9</f>
        <v>11190</v>
      </c>
      <c r="E10" s="5">
        <f>(Table1135[[#This Row],[MILLING]]-F9)+(Table1135[[#This Row],[UTILITY / PARBOILING]]-G9)</f>
        <v>18349</v>
      </c>
      <c r="F10" s="5">
        <f>'PowerHouse Data'!$K$10</f>
        <v>3275477</v>
      </c>
      <c r="G10" s="5">
        <f>'PowerHouse Data'!$K$11</f>
        <v>337265</v>
      </c>
      <c r="H10" s="5">
        <f>Table1135[[#This Row],[MILLING]]-F9</f>
        <v>12404</v>
      </c>
      <c r="I10" s="5">
        <f>Table1135[[#This Row],[UTILITY / PARBOILING]]-G9</f>
        <v>5945</v>
      </c>
      <c r="J10" s="5">
        <f>Table1135[[#This Row],[MILLING + UTILITY / PARBOILING]]-Table1135[[#This Row],[NEPA Consumption (KWH)]]</f>
        <v>7159</v>
      </c>
    </row>
    <row r="11" spans="1:10" ht="18" customHeight="1" x14ac:dyDescent="0.35">
      <c r="A11" s="4">
        <v>46211</v>
      </c>
      <c r="B11" s="5" t="s">
        <v>31</v>
      </c>
      <c r="C11" s="5">
        <f>'PowerHouse Data'!$L$3</f>
        <v>24103700</v>
      </c>
      <c r="D11" s="5">
        <f>Table1135[[#This Row],[NEPA FINAL]]-C10</f>
        <v>9910</v>
      </c>
      <c r="E11" s="5">
        <f>(Table1135[[#This Row],[MILLING]]-F10)+(Table1135[[#This Row],[UTILITY / PARBOILING]]-G10)</f>
        <v>16486</v>
      </c>
      <c r="F11" s="5">
        <f>'PowerHouse Data'!$L$10</f>
        <v>3287205</v>
      </c>
      <c r="G11" s="5">
        <f>'PowerHouse Data'!$L$11</f>
        <v>342023</v>
      </c>
      <c r="H11" s="5">
        <f>Table1135[[#This Row],[MILLING]]-F10</f>
        <v>11728</v>
      </c>
      <c r="I11" s="5">
        <f>Table1135[[#This Row],[UTILITY / PARBOILING]]-G10</f>
        <v>4758</v>
      </c>
      <c r="J11" s="5">
        <f>Table1135[[#This Row],[MILLING + UTILITY / PARBOILING]]-Table1135[[#This Row],[NEPA Consumption (KWH)]]</f>
        <v>6576</v>
      </c>
    </row>
    <row r="12" spans="1:10" ht="18" customHeight="1" x14ac:dyDescent="0.35">
      <c r="A12" s="4">
        <v>46212</v>
      </c>
      <c r="B12" s="5" t="s">
        <v>31</v>
      </c>
      <c r="C12" s="5">
        <f>'PowerHouse Data'!$M$3</f>
        <v>24112250</v>
      </c>
      <c r="D12" s="5">
        <f>Table1135[[#This Row],[NEPA FINAL]]-C11</f>
        <v>8550</v>
      </c>
      <c r="E12" s="5">
        <f>(Table1135[[#This Row],[MILLING]]-F11)+(Table1135[[#This Row],[UTILITY / PARBOILING]]-G11)</f>
        <v>15016</v>
      </c>
      <c r="F12" s="5">
        <f>'PowerHouse Data'!$M$10</f>
        <v>3299866</v>
      </c>
      <c r="G12" s="5">
        <f>'PowerHouse Data'!$M$11</f>
        <v>344378</v>
      </c>
      <c r="H12" s="5">
        <f>Table1135[[#This Row],[MILLING]]-F11</f>
        <v>12661</v>
      </c>
      <c r="I12" s="5">
        <f>Table1135[[#This Row],[UTILITY / PARBOILING]]-G11</f>
        <v>2355</v>
      </c>
      <c r="J12" s="5">
        <f>Table1135[[#This Row],[MILLING + UTILITY / PARBOILING]]-Table1135[[#This Row],[NEPA Consumption (KWH)]]</f>
        <v>6466</v>
      </c>
    </row>
    <row r="13" spans="1:10" ht="18" customHeight="1" x14ac:dyDescent="0.35">
      <c r="A13" s="4">
        <v>46213</v>
      </c>
      <c r="B13" s="5" t="s">
        <v>31</v>
      </c>
      <c r="C13" s="5">
        <f>'PowerHouse Data'!$N$3</f>
        <v>24117020</v>
      </c>
      <c r="D13" s="5">
        <f>Table1135[[#This Row],[NEPA FINAL]]-C12</f>
        <v>4770</v>
      </c>
      <c r="E13" s="5">
        <f>(Table1135[[#This Row],[MILLING]]-F12)+(Table1135[[#This Row],[UTILITY / PARBOILING]]-G12)</f>
        <v>6369</v>
      </c>
      <c r="F13" s="5">
        <f>'PowerHouse Data'!$N$10</f>
        <v>3301119</v>
      </c>
      <c r="G13" s="5">
        <f>'PowerHouse Data'!$N$11</f>
        <v>349494</v>
      </c>
      <c r="H13" s="5">
        <f>Table1135[[#This Row],[MILLING]]-F12</f>
        <v>1253</v>
      </c>
      <c r="I13" s="5">
        <f>Table1135[[#This Row],[UTILITY / PARBOILING]]-G12</f>
        <v>5116</v>
      </c>
      <c r="J13" s="5">
        <f>Table1135[[#This Row],[MILLING + UTILITY / PARBOILING]]-Table1135[[#This Row],[NEPA Consumption (KWH)]]</f>
        <v>1599</v>
      </c>
    </row>
    <row r="14" spans="1:10" ht="18" customHeight="1" x14ac:dyDescent="0.35">
      <c r="A14" s="4">
        <v>46214</v>
      </c>
      <c r="B14" s="5" t="s">
        <v>31</v>
      </c>
      <c r="C14" s="5">
        <f>'PowerHouse Data'!$O$3</f>
        <v>24122000</v>
      </c>
      <c r="D14" s="5">
        <f>Table1135[[#This Row],[NEPA FINAL]]-C13</f>
        <v>4980</v>
      </c>
      <c r="E14" s="5">
        <f>(Table1135[[#This Row],[MILLING]]-F13)+(Table1135[[#This Row],[UTILITY / PARBOILING]]-G13)</f>
        <v>6996</v>
      </c>
      <c r="F14" s="5">
        <f>'PowerHouse Data'!$O$10</f>
        <v>3303032</v>
      </c>
      <c r="G14" s="5">
        <f>'PowerHouse Data'!$O$11</f>
        <v>354577</v>
      </c>
      <c r="H14" s="5">
        <f>Table1135[[#This Row],[MILLING]]-F13</f>
        <v>1913</v>
      </c>
      <c r="I14" s="5">
        <f>Table1135[[#This Row],[UTILITY / PARBOILING]]-G13</f>
        <v>5083</v>
      </c>
      <c r="J14" s="5">
        <f>Table1135[[#This Row],[MILLING + UTILITY / PARBOILING]]-Table1135[[#This Row],[NEPA Consumption (KWH)]]</f>
        <v>2016</v>
      </c>
    </row>
    <row r="15" spans="1:10" ht="18" customHeight="1" x14ac:dyDescent="0.35">
      <c r="A15" s="4">
        <v>46215</v>
      </c>
      <c r="B15" s="5" t="s">
        <v>31</v>
      </c>
      <c r="C15" s="5">
        <f>'PowerHouse Data'!$P$3</f>
        <v>24125140</v>
      </c>
      <c r="D15" s="5">
        <f>Table1135[[#This Row],[NEPA FINAL]]-C14</f>
        <v>3140</v>
      </c>
      <c r="E15" s="5">
        <f>(Table1135[[#This Row],[MILLING]]-F14)+(Table1135[[#This Row],[UTILITY / PARBOILING]]-G14)</f>
        <v>4025</v>
      </c>
      <c r="F15" s="5">
        <f>'PowerHouse Data'!$P$10</f>
        <v>3303035</v>
      </c>
      <c r="G15" s="5">
        <f>'PowerHouse Data'!$P$11</f>
        <v>358599</v>
      </c>
      <c r="H15" s="5">
        <f>Table1135[[#This Row],[MILLING]]-F14</f>
        <v>3</v>
      </c>
      <c r="I15" s="5">
        <f>Table1135[[#This Row],[UTILITY / PARBOILING]]-G14</f>
        <v>4022</v>
      </c>
      <c r="J15" s="5">
        <f>Table1135[[#This Row],[MILLING + UTILITY / PARBOILING]]-Table1135[[#This Row],[NEPA Consumption (KWH)]]</f>
        <v>885</v>
      </c>
    </row>
    <row r="16" spans="1:10" ht="18" customHeight="1" x14ac:dyDescent="0.35">
      <c r="A16" s="4">
        <v>46216</v>
      </c>
      <c r="B16" s="5" t="s">
        <v>31</v>
      </c>
      <c r="C16" s="5">
        <f>'PowerHouse Data'!$Q$3</f>
        <v>24135990</v>
      </c>
      <c r="D16" s="5">
        <f>Table1135[[#This Row],[NEPA FINAL]]-C15</f>
        <v>10850</v>
      </c>
      <c r="E16" s="5">
        <f>(Table1135[[#This Row],[MILLING]]-F15)+(Table1135[[#This Row],[UTILITY / PARBOILING]]-G15)</f>
        <v>18279</v>
      </c>
      <c r="F16" s="5">
        <f>'PowerHouse Data'!$Q$10</f>
        <v>3316063</v>
      </c>
      <c r="G16" s="5">
        <f>'PowerHouse Data'!$Q$11</f>
        <v>363850</v>
      </c>
      <c r="H16" s="5">
        <f>Table1135[[#This Row],[MILLING]]-F15</f>
        <v>13028</v>
      </c>
      <c r="I16" s="5">
        <f>Table1135[[#This Row],[UTILITY / PARBOILING]]-G15</f>
        <v>5251</v>
      </c>
      <c r="J16" s="5">
        <f>Table1135[[#This Row],[MILLING + UTILITY / PARBOILING]]-Table1135[[#This Row],[NEPA Consumption (KWH)]]</f>
        <v>7429</v>
      </c>
    </row>
    <row r="17" spans="1:10" ht="18" customHeight="1" x14ac:dyDescent="0.35">
      <c r="A17" s="4">
        <v>46217</v>
      </c>
      <c r="B17" s="5" t="s">
        <v>31</v>
      </c>
      <c r="C17" s="5">
        <f>'PowerHouse Data'!$R$3</f>
        <v>24145790</v>
      </c>
      <c r="D17" s="5">
        <f>Table1135[[#This Row],[NEPA FINAL]]-C16</f>
        <v>9800</v>
      </c>
      <c r="E17" s="5">
        <f>(Table1135[[#This Row],[MILLING]]-F16)+(Table1135[[#This Row],[UTILITY / PARBOILING]]-G16)</f>
        <v>16014</v>
      </c>
      <c r="F17" s="5">
        <f>'PowerHouse Data'!$R$10</f>
        <v>3326476</v>
      </c>
      <c r="G17" s="5">
        <f>'PowerHouse Data'!$R$11</f>
        <v>369451</v>
      </c>
      <c r="H17" s="5">
        <f>Table1135[[#This Row],[MILLING]]-F16</f>
        <v>10413</v>
      </c>
      <c r="I17" s="5">
        <f>Table1135[[#This Row],[UTILITY / PARBOILING]]-G16</f>
        <v>5601</v>
      </c>
      <c r="J17" s="5">
        <f>Table1135[[#This Row],[MILLING + UTILITY / PARBOILING]]-Table1135[[#This Row],[NEPA Consumption (KWH)]]</f>
        <v>6214</v>
      </c>
    </row>
    <row r="18" spans="1:10" ht="18" customHeight="1" x14ac:dyDescent="0.35">
      <c r="A18" s="4">
        <v>46218</v>
      </c>
      <c r="B18" s="5" t="s">
        <v>31</v>
      </c>
      <c r="C18" s="5">
        <f>'PowerHouse Data'!$S$3</f>
        <v>24157430</v>
      </c>
      <c r="D18" s="5">
        <f>Table1135[[#This Row],[NEPA FINAL]]-C17</f>
        <v>11640</v>
      </c>
      <c r="E18" s="5">
        <f>(Table1135[[#This Row],[MILLING]]-F17)+(Table1135[[#This Row],[UTILITY / PARBOILING]]-G17)</f>
        <v>19174</v>
      </c>
      <c r="F18" s="5">
        <f>'PowerHouse Data'!$S$10</f>
        <v>3339130</v>
      </c>
      <c r="G18" s="5">
        <f>'PowerHouse Data'!$S$11</f>
        <v>375971</v>
      </c>
      <c r="H18" s="5">
        <f>Table1135[[#This Row],[MILLING]]-F17</f>
        <v>12654</v>
      </c>
      <c r="I18" s="5">
        <f>Table1135[[#This Row],[UTILITY / PARBOILING]]-G17</f>
        <v>6520</v>
      </c>
      <c r="J18" s="5">
        <f>Table1135[[#This Row],[MILLING + UTILITY / PARBOILING]]-Table1135[[#This Row],[NEPA Consumption (KWH)]]</f>
        <v>7534</v>
      </c>
    </row>
    <row r="19" spans="1:10" ht="18" customHeight="1" x14ac:dyDescent="0.35">
      <c r="A19" s="4">
        <v>46219</v>
      </c>
      <c r="B19" s="5" t="s">
        <v>31</v>
      </c>
      <c r="C19" s="5">
        <f>'PowerHouse Data'!$T$3</f>
        <v>24167190</v>
      </c>
      <c r="D19" s="5">
        <f>Table1135[[#This Row],[NEPA FINAL]]-C18</f>
        <v>9760</v>
      </c>
      <c r="E19" s="5">
        <f>(Table1135[[#This Row],[MILLING]]-F18)+(Table1135[[#This Row],[UTILITY / PARBOILING]]-G18)</f>
        <v>16518</v>
      </c>
      <c r="F19" s="5">
        <f>'PowerHouse Data'!$T$10</f>
        <v>3351197</v>
      </c>
      <c r="G19" s="5">
        <f>'PowerHouse Data'!$T$11</f>
        <v>380422</v>
      </c>
      <c r="H19" s="5">
        <f>Table1135[[#This Row],[MILLING]]-F18</f>
        <v>12067</v>
      </c>
      <c r="I19" s="5">
        <f>Table1135[[#This Row],[UTILITY / PARBOILING]]-G18</f>
        <v>4451</v>
      </c>
      <c r="J19" s="5">
        <f>Table1135[[#This Row],[MILLING + UTILITY / PARBOILING]]-Table1135[[#This Row],[NEPA Consumption (KWH)]]</f>
        <v>6758</v>
      </c>
    </row>
    <row r="20" spans="1:10" ht="18" customHeight="1" x14ac:dyDescent="0.35">
      <c r="A20" s="4">
        <v>46220</v>
      </c>
      <c r="B20" s="5" t="s">
        <v>31</v>
      </c>
      <c r="C20" s="5">
        <f>'PowerHouse Data'!$U$3</f>
        <v>24176020</v>
      </c>
      <c r="D20" s="5">
        <f>Table1135[[#This Row],[NEPA FINAL]]-C19</f>
        <v>8830</v>
      </c>
      <c r="E20" s="5">
        <f>(Table1135[[#This Row],[MILLING]]-F19)+(Table1135[[#This Row],[UTILITY / PARBOILING]]-G19)</f>
        <v>14553</v>
      </c>
      <c r="F20" s="5">
        <f>'PowerHouse Data'!$U$10</f>
        <v>3361064</v>
      </c>
      <c r="G20" s="5">
        <f>'PowerHouse Data'!$U$11</f>
        <v>385108</v>
      </c>
      <c r="H20" s="5">
        <f>Table1135[[#This Row],[MILLING]]-F19</f>
        <v>9867</v>
      </c>
      <c r="I20" s="5">
        <f>Table1135[[#This Row],[UTILITY / PARBOILING]]-G19</f>
        <v>4686</v>
      </c>
      <c r="J20" s="5">
        <f>Table1135[[#This Row],[MILLING + UTILITY / PARBOILING]]-Table1135[[#This Row],[NEPA Consumption (KWH)]]</f>
        <v>5723</v>
      </c>
    </row>
    <row r="21" spans="1:10" ht="18" customHeight="1" x14ac:dyDescent="0.35">
      <c r="A21" s="4">
        <v>46221</v>
      </c>
      <c r="B21" s="5" t="s">
        <v>31</v>
      </c>
      <c r="C21" s="5">
        <f>'PowerHouse Data'!$V$3</f>
        <v>24179710</v>
      </c>
      <c r="D21" s="5">
        <f>Table1135[[#This Row],[NEPA FINAL]]-C20</f>
        <v>3690</v>
      </c>
      <c r="E21" s="5">
        <f>(Table1135[[#This Row],[MILLING]]-F20)+(Table1135[[#This Row],[UTILITY / PARBOILING]]-G20)</f>
        <v>5012</v>
      </c>
      <c r="F21" s="5">
        <f>'PowerHouse Data'!$V$10</f>
        <v>3362285</v>
      </c>
      <c r="G21" s="5">
        <f>'PowerHouse Data'!$V$11</f>
        <v>388899</v>
      </c>
      <c r="H21" s="5">
        <f>Table1135[[#This Row],[MILLING]]-F20</f>
        <v>1221</v>
      </c>
      <c r="I21" s="5">
        <f>Table1135[[#This Row],[UTILITY / PARBOILING]]-G20</f>
        <v>3791</v>
      </c>
      <c r="J21" s="5">
        <f>Table1135[[#This Row],[MILLING + UTILITY / PARBOILING]]-Table1135[[#This Row],[NEPA Consumption (KWH)]]</f>
        <v>1322</v>
      </c>
    </row>
    <row r="22" spans="1:10" ht="18" customHeight="1" x14ac:dyDescent="0.35">
      <c r="A22" s="4">
        <v>46222</v>
      </c>
      <c r="B22" s="5" t="s">
        <v>31</v>
      </c>
      <c r="C22" s="5">
        <f>'PowerHouse Data'!$W$3</f>
        <v>24180500</v>
      </c>
      <c r="D22" s="5">
        <f>Table1135[[#This Row],[NEPA FINAL]]-C21</f>
        <v>790</v>
      </c>
      <c r="E22" s="5">
        <f>(Table1135[[#This Row],[MILLING]]-F21)+(Table1135[[#This Row],[UTILITY / PARBOILING]]-G21)</f>
        <v>897</v>
      </c>
      <c r="F22" s="5">
        <f>'PowerHouse Data'!$W$10</f>
        <v>3362290</v>
      </c>
      <c r="G22" s="5">
        <f>'PowerHouse Data'!$W$11</f>
        <v>389791</v>
      </c>
      <c r="H22" s="5">
        <f>Table1135[[#This Row],[MILLING]]-F21</f>
        <v>5</v>
      </c>
      <c r="I22" s="5">
        <f>Table1135[[#This Row],[UTILITY / PARBOILING]]-G21</f>
        <v>892</v>
      </c>
      <c r="J22" s="5">
        <f>Table1135[[#This Row],[MILLING + UTILITY / PARBOILING]]-Table1135[[#This Row],[NEPA Consumption (KWH)]]</f>
        <v>107</v>
      </c>
    </row>
    <row r="23" spans="1:10" ht="18" customHeight="1" x14ac:dyDescent="0.35">
      <c r="A23" s="4">
        <v>46223</v>
      </c>
      <c r="B23" s="5" t="s">
        <v>31</v>
      </c>
      <c r="C23" s="5">
        <f>'PowerHouse Data'!$X$3</f>
        <v>24189710</v>
      </c>
      <c r="D23" s="5">
        <f>Table1135[[#This Row],[NEPA FINAL]]-C22</f>
        <v>9210</v>
      </c>
      <c r="E23" s="5">
        <f>(Table1135[[#This Row],[MILLING]]-F22)+(Table1135[[#This Row],[UTILITY / PARBOILING]]-G22)</f>
        <v>16283</v>
      </c>
      <c r="F23" s="5">
        <f>'PowerHouse Data'!$X$10</f>
        <v>3375728</v>
      </c>
      <c r="G23" s="5">
        <f>'PowerHouse Data'!$X$11</f>
        <v>392636</v>
      </c>
      <c r="H23" s="5">
        <f>Table1135[[#This Row],[MILLING]]-F22</f>
        <v>13438</v>
      </c>
      <c r="I23" s="5">
        <f>Table1135[[#This Row],[UTILITY / PARBOILING]]-G22</f>
        <v>2845</v>
      </c>
      <c r="J23" s="5">
        <f>Table1135[[#This Row],[MILLING + UTILITY / PARBOILING]]-Table1135[[#This Row],[NEPA Consumption (KWH)]]</f>
        <v>7073</v>
      </c>
    </row>
    <row r="24" spans="1:10" ht="18" customHeight="1" x14ac:dyDescent="0.35">
      <c r="A24" s="4">
        <v>46224</v>
      </c>
      <c r="B24" s="5" t="s">
        <v>31</v>
      </c>
      <c r="C24" s="5">
        <f>'PowerHouse Data'!$Y$3</f>
        <v>24199100</v>
      </c>
      <c r="D24" s="5">
        <f>Table1135[[#This Row],[NEPA FINAL]]-C23</f>
        <v>9390</v>
      </c>
      <c r="E24" s="5">
        <f>(Table1135[[#This Row],[MILLING]]-F23)+(Table1135[[#This Row],[UTILITY / PARBOILING]]-G23)</f>
        <v>15491</v>
      </c>
      <c r="F24" s="5">
        <f>'PowerHouse Data'!$Y$10</f>
        <v>3386313</v>
      </c>
      <c r="G24" s="5">
        <f>'PowerHouse Data'!$Y$11</f>
        <v>397542</v>
      </c>
      <c r="H24" s="5">
        <f>Table1135[[#This Row],[MILLING]]-F23</f>
        <v>10585</v>
      </c>
      <c r="I24" s="5">
        <f>Table1135[[#This Row],[UTILITY / PARBOILING]]-G23</f>
        <v>4906</v>
      </c>
      <c r="J24" s="5">
        <f>Table1135[[#This Row],[MILLING + UTILITY / PARBOILING]]-Table1135[[#This Row],[NEPA Consumption (KWH)]]</f>
        <v>6101</v>
      </c>
    </row>
    <row r="25" spans="1:10" ht="18" customHeight="1" x14ac:dyDescent="0.35">
      <c r="A25" s="4">
        <v>46225</v>
      </c>
      <c r="B25" s="5" t="s">
        <v>31</v>
      </c>
      <c r="C25" s="5">
        <f>'PowerHouse Data'!$Z$3</f>
        <v>24208190</v>
      </c>
      <c r="D25" s="5">
        <f>Table1135[[#This Row],[NEPA FINAL]]-C24</f>
        <v>9090</v>
      </c>
      <c r="E25" s="5">
        <f>(Table1135[[#This Row],[MILLING]]-F24)+(Table1135[[#This Row],[UTILITY / PARBOILING]]-G24)</f>
        <v>15129</v>
      </c>
      <c r="F25" s="5">
        <f>'PowerHouse Data'!$Z$10</f>
        <v>3396838</v>
      </c>
      <c r="G25" s="5">
        <f>'PowerHouse Data'!$Z$11</f>
        <v>402146</v>
      </c>
      <c r="H25" s="5">
        <f>Table1135[[#This Row],[MILLING]]-F24</f>
        <v>10525</v>
      </c>
      <c r="I25" s="5">
        <f>Table1135[[#This Row],[UTILITY / PARBOILING]]-G24</f>
        <v>4604</v>
      </c>
      <c r="J25" s="5">
        <f>Table1135[[#This Row],[MILLING + UTILITY / PARBOILING]]-Table1135[[#This Row],[NEPA Consumption (KWH)]]</f>
        <v>6039</v>
      </c>
    </row>
    <row r="26" spans="1:10" ht="18" customHeight="1" x14ac:dyDescent="0.35">
      <c r="A26" s="4">
        <v>46226</v>
      </c>
      <c r="B26" s="5" t="s">
        <v>31</v>
      </c>
      <c r="C26" s="5">
        <f>'PowerHouse Data'!$AA$3</f>
        <v>24217830</v>
      </c>
      <c r="D26" s="5">
        <f>Table1135[[#This Row],[NEPA FINAL]]-C25</f>
        <v>9640</v>
      </c>
      <c r="E26" s="5">
        <f>(Table1135[[#This Row],[MILLING]]-F25)+(Table1135[[#This Row],[UTILITY / PARBOILING]]-G25)</f>
        <v>15951</v>
      </c>
      <c r="F26" s="5">
        <f>'PowerHouse Data'!$AA$10</f>
        <v>3407745</v>
      </c>
      <c r="G26" s="5">
        <f>'PowerHouse Data'!$AA$11</f>
        <v>407190</v>
      </c>
      <c r="H26" s="5">
        <f>Table1135[[#This Row],[MILLING]]-F25</f>
        <v>10907</v>
      </c>
      <c r="I26" s="5">
        <f>Table1135[[#This Row],[UTILITY / PARBOILING]]-G25</f>
        <v>5044</v>
      </c>
      <c r="J26" s="5">
        <f>Table1135[[#This Row],[MILLING + UTILITY / PARBOILING]]-Table1135[[#This Row],[NEPA Consumption (KWH)]]</f>
        <v>6311</v>
      </c>
    </row>
    <row r="27" spans="1:10" ht="18" customHeight="1" x14ac:dyDescent="0.35">
      <c r="A27" s="4">
        <v>46227</v>
      </c>
      <c r="B27" s="5" t="s">
        <v>31</v>
      </c>
      <c r="C27" s="5">
        <f>'PowerHouse Data'!$AB$3</f>
        <v>24229690</v>
      </c>
      <c r="D27" s="5">
        <f>Table1135[[#This Row],[NEPA FINAL]]-C26</f>
        <v>11860</v>
      </c>
      <c r="E27" s="5">
        <f>(Table1135[[#This Row],[MILLING]]-F26)+(Table1135[[#This Row],[UTILITY / PARBOILING]]-G26)</f>
        <v>19157</v>
      </c>
      <c r="F27" s="5">
        <f>'PowerHouse Data'!$AB$10</f>
        <v>3419791</v>
      </c>
      <c r="G27" s="5">
        <f>'PowerHouse Data'!$AB$11</f>
        <v>414301</v>
      </c>
      <c r="H27" s="5">
        <f>Table1135[[#This Row],[MILLING]]-F26</f>
        <v>12046</v>
      </c>
      <c r="I27" s="5">
        <f>Table1135[[#This Row],[UTILITY / PARBOILING]]-G26</f>
        <v>7111</v>
      </c>
      <c r="J27" s="5">
        <f>Table1135[[#This Row],[MILLING + UTILITY / PARBOILING]]-Table1135[[#This Row],[NEPA Consumption (KWH)]]</f>
        <v>7297</v>
      </c>
    </row>
    <row r="28" spans="1:10" ht="18" customHeight="1" x14ac:dyDescent="0.35">
      <c r="A28" s="4">
        <v>46228</v>
      </c>
      <c r="B28" s="5" t="s">
        <v>31</v>
      </c>
      <c r="C28" s="5">
        <f>'PowerHouse Data'!$AC$3</f>
        <v>24233680</v>
      </c>
      <c r="D28" s="5">
        <f>Table1135[[#This Row],[NEPA FINAL]]-C27</f>
        <v>3990</v>
      </c>
      <c r="E28" s="5">
        <f>(Table1135[[#This Row],[MILLING]]-F27)+(Table1135[[#This Row],[UTILITY / PARBOILING]]-G27)</f>
        <v>5261</v>
      </c>
      <c r="F28" s="5">
        <f>'PowerHouse Data'!$AC$10</f>
        <v>3420458</v>
      </c>
      <c r="G28" s="5">
        <f>'PowerHouse Data'!$AC$11</f>
        <v>418895</v>
      </c>
      <c r="H28" s="5">
        <f>Table1135[[#This Row],[MILLING]]-F27</f>
        <v>667</v>
      </c>
      <c r="I28" s="5">
        <f>Table1135[[#This Row],[UTILITY / PARBOILING]]-G27</f>
        <v>4594</v>
      </c>
      <c r="J28" s="5">
        <f>Table1135[[#This Row],[MILLING + UTILITY / PARBOILING]]-Table1135[[#This Row],[NEPA Consumption (KWH)]]</f>
        <v>1271</v>
      </c>
    </row>
    <row r="29" spans="1:10" ht="18" customHeight="1" x14ac:dyDescent="0.35">
      <c r="A29" s="4">
        <v>46229</v>
      </c>
      <c r="B29" s="5" t="s">
        <v>31</v>
      </c>
      <c r="C29" s="5">
        <f>'PowerHouse Data'!$AD$3</f>
        <v>24237140</v>
      </c>
      <c r="D29" s="5">
        <f>Table1135[[#This Row],[NEPA FINAL]]-C28</f>
        <v>3460</v>
      </c>
      <c r="E29" s="5">
        <f>(Table1135[[#This Row],[MILLING]]-F28)+(Table1135[[#This Row],[UTILITY / PARBOILING]]-G28)</f>
        <v>4381</v>
      </c>
      <c r="F29" s="5">
        <f>'PowerHouse Data'!$AD$10</f>
        <v>3420543</v>
      </c>
      <c r="G29" s="5">
        <f>'PowerHouse Data'!$AD$11</f>
        <v>423191</v>
      </c>
      <c r="H29" s="5">
        <f>Table1135[[#This Row],[MILLING]]-F28</f>
        <v>85</v>
      </c>
      <c r="I29" s="5">
        <f>Table1135[[#This Row],[UTILITY / PARBOILING]]-G28</f>
        <v>4296</v>
      </c>
      <c r="J29" s="5">
        <f>Table1135[[#This Row],[MILLING + UTILITY / PARBOILING]]-Table1135[[#This Row],[NEPA Consumption (KWH)]]</f>
        <v>921</v>
      </c>
    </row>
    <row r="30" spans="1:10" ht="18" customHeight="1" x14ac:dyDescent="0.35">
      <c r="A30" s="4">
        <v>46230</v>
      </c>
      <c r="B30" s="5" t="s">
        <v>31</v>
      </c>
      <c r="C30" s="5">
        <f>'PowerHouse Data'!$AE$3</f>
        <v>24248800</v>
      </c>
      <c r="D30" s="5">
        <f>Table1135[[#This Row],[NEPA FINAL]]-C29</f>
        <v>11660</v>
      </c>
      <c r="E30" s="5">
        <f>(Table1135[[#This Row],[MILLING]]-F29)+(Table1135[[#This Row],[UTILITY / PARBOILING]]-G29)</f>
        <v>18895</v>
      </c>
      <c r="F30" s="5">
        <f>'PowerHouse Data'!$AE$10</f>
        <v>3432496</v>
      </c>
      <c r="G30" s="5">
        <f>'PowerHouse Data'!$AE$11</f>
        <v>430133</v>
      </c>
      <c r="H30" s="5">
        <f>Table1135[[#This Row],[MILLING]]-F29</f>
        <v>11953</v>
      </c>
      <c r="I30" s="5">
        <f>Table1135[[#This Row],[UTILITY / PARBOILING]]-G29</f>
        <v>6942</v>
      </c>
      <c r="J30" s="5">
        <f>Table1135[[#This Row],[MILLING + UTILITY / PARBOILING]]-Table1135[[#This Row],[NEPA Consumption (KWH)]]</f>
        <v>7235</v>
      </c>
    </row>
    <row r="31" spans="1:10" ht="18" customHeight="1" x14ac:dyDescent="0.35">
      <c r="A31" s="4">
        <v>46231</v>
      </c>
      <c r="B31" s="5" t="s">
        <v>31</v>
      </c>
      <c r="C31" s="5">
        <f>'PowerHouse Data'!$AF$3</f>
        <v>24259810</v>
      </c>
      <c r="D31" s="5">
        <f>Table1135[[#This Row],[NEPA FINAL]]-C30</f>
        <v>11010</v>
      </c>
      <c r="E31" s="5">
        <f>(Table1135[[#This Row],[MILLING]]-F30)+(Table1135[[#This Row],[UTILITY / PARBOILING]]-G30)</f>
        <v>17921</v>
      </c>
      <c r="F31" s="5">
        <f>'PowerHouse Data'!$AF$10</f>
        <v>3444122</v>
      </c>
      <c r="G31" s="5">
        <f>'PowerHouse Data'!$AF$11</f>
        <v>436428</v>
      </c>
      <c r="H31" s="5">
        <f>Table1135[[#This Row],[MILLING]]-F30</f>
        <v>11626</v>
      </c>
      <c r="I31" s="5">
        <f>Table1135[[#This Row],[UTILITY / PARBOILING]]-G30</f>
        <v>6295</v>
      </c>
      <c r="J31" s="5">
        <f>Table1135[[#This Row],[MILLING + UTILITY / PARBOILING]]-Table1135[[#This Row],[NEPA Consumption (KWH)]]</f>
        <v>6911</v>
      </c>
    </row>
    <row r="32" spans="1:10" ht="18" customHeight="1" x14ac:dyDescent="0.35">
      <c r="A32" s="4">
        <v>46232</v>
      </c>
      <c r="B32" s="5" t="s">
        <v>31</v>
      </c>
      <c r="C32" s="5">
        <f>'PowerHouse Data'!$AG$3</f>
        <v>24269940</v>
      </c>
      <c r="D32" s="5">
        <f>Table1135[[#This Row],[NEPA FINAL]]-C31</f>
        <v>10130</v>
      </c>
      <c r="E32" s="5">
        <f>(Table1135[[#This Row],[MILLING]]-F31)+(Table1135[[#This Row],[UTILITY / PARBOILING]]-G31)</f>
        <v>17674</v>
      </c>
      <c r="F32" s="5">
        <f>'PowerHouse Data'!$AG$10</f>
        <v>3458327</v>
      </c>
      <c r="G32" s="5">
        <f>'PowerHouse Data'!$AG$11</f>
        <v>439897</v>
      </c>
      <c r="H32" s="5">
        <f>Table1135[[#This Row],[MILLING]]-F31</f>
        <v>14205</v>
      </c>
      <c r="I32" s="5">
        <f>Table1135[[#This Row],[UTILITY / PARBOILING]]-G31</f>
        <v>3469</v>
      </c>
      <c r="J32" s="5">
        <f>Table1135[[#This Row],[MILLING + UTILITY / PARBOILING]]-Table1135[[#This Row],[NEPA Consumption (KWH)]]</f>
        <v>7544</v>
      </c>
    </row>
    <row r="33" spans="1:10" x14ac:dyDescent="0.35">
      <c r="A33" s="4">
        <v>46233</v>
      </c>
      <c r="B33" s="5"/>
      <c r="C33" s="5">
        <f>'PowerHouse Data'!$AH$3</f>
        <v>24278570</v>
      </c>
      <c r="D33" s="5">
        <f>Table1135[[#This Row],[NEPA FINAL]]-C32</f>
        <v>8630</v>
      </c>
      <c r="E33" s="5">
        <f>(Table1135[[#This Row],[MILLING]]-F32)+(Table1135[[#This Row],[UTILITY / PARBOILING]]-G32)</f>
        <v>15057</v>
      </c>
      <c r="F33" s="5">
        <f>'PowerHouse Data'!$AH$10</f>
        <v>3470399</v>
      </c>
      <c r="G33" s="5">
        <f>'PowerHouse Data'!$AH$11</f>
        <v>442882</v>
      </c>
      <c r="H33" s="5">
        <f>Table1135[[#This Row],[MILLING]]-F32</f>
        <v>12072</v>
      </c>
      <c r="I33" s="5">
        <f>Table1135[[#This Row],[UTILITY / PARBOILING]]-G32</f>
        <v>2985</v>
      </c>
      <c r="J33" s="5">
        <f>Table1135[[#This Row],[MILLING + UTILITY / PARBOILING]]-Table1135[[#This Row],[NEPA Consumption (KWH)]]</f>
        <v>6427</v>
      </c>
    </row>
    <row r="34" spans="1:10" x14ac:dyDescent="0.35">
      <c r="A34" s="4">
        <v>46234</v>
      </c>
      <c r="B34" s="5"/>
      <c r="C34" s="5">
        <f>'PowerHouse Data'!$AI$3</f>
        <v>24287130</v>
      </c>
      <c r="D34" s="7">
        <f>Table1135[[#This Row],[NEPA FINAL]]-C33</f>
        <v>8560</v>
      </c>
      <c r="E34" s="20">
        <f>(Table1135[[#This Row],[MILLING]]-F33)+(Table1135[[#This Row],[UTILITY / PARBOILING]]-G33)</f>
        <v>15016</v>
      </c>
      <c r="F34" s="5">
        <f>'PowerHouse Data'!$AI$10</f>
        <v>3482505</v>
      </c>
      <c r="G34" s="5">
        <f>'PowerHouse Data'!$AI$11</f>
        <v>445792</v>
      </c>
      <c r="H34" s="20">
        <f>Table1135[[#This Row],[MILLING]]-F33</f>
        <v>12106</v>
      </c>
      <c r="I34" s="20">
        <f>Table1135[[#This Row],[UTILITY / PARBOILING]]-G33</f>
        <v>2910</v>
      </c>
      <c r="J34" s="20">
        <f>Table1135[[#This Row],[MILLING + UTILITY / PARBOILING]]-Table1135[[#This Row],[NEPA Consumption (KWH)]]</f>
        <v>6456</v>
      </c>
    </row>
    <row r="35" spans="1:10" x14ac:dyDescent="0.35">
      <c r="A35" s="4">
        <v>46235</v>
      </c>
      <c r="B35" s="7"/>
      <c r="C35" s="5">
        <f>'PowerHouse Data'!$AJ$3</f>
        <v>0</v>
      </c>
      <c r="D35" s="7">
        <f>Table1135[[#This Row],[NEPA FINAL]]-C34</f>
        <v>-24287130</v>
      </c>
      <c r="E35" s="23">
        <f>(Table1135[[#This Row],[MILLING]]-F34)+(Table1135[[#This Row],[UTILITY / PARBOILING]]-G34)</f>
        <v>-3928297</v>
      </c>
      <c r="F35" s="5">
        <f>'PowerHouse Data'!$AJ$10</f>
        <v>0</v>
      </c>
      <c r="G35" s="5">
        <f>'PowerHouse Data'!$AJ$11</f>
        <v>0</v>
      </c>
      <c r="H35" s="40">
        <f>Table1135[[#This Row],[MILLING]]-F34</f>
        <v>-3482505</v>
      </c>
      <c r="I35" s="40">
        <f>Table1135[[#This Row],[UTILITY / PARBOILING]]-G34</f>
        <v>-445792</v>
      </c>
      <c r="J35" s="40">
        <f>Table1135[[#This Row],[MILLING + UTILITY / PARBOILING]]-Table1135[[#This Row],[NEPA Consumption (KWH)]]</f>
        <v>20358833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PowerHouse Data</vt:lpstr>
      <vt:lpstr>Summary</vt:lpstr>
      <vt:lpstr>Compressor</vt:lpstr>
      <vt:lpstr>Diesel</vt:lpstr>
      <vt:lpstr>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Sahai</dc:creator>
  <cp:lastModifiedBy>Punith L Naik</cp:lastModifiedBy>
  <cp:lastPrinted>2026-04-07T06:47:10Z</cp:lastPrinted>
  <dcterms:created xsi:type="dcterms:W3CDTF">2015-06-05T18:17:20Z</dcterms:created>
  <dcterms:modified xsi:type="dcterms:W3CDTF">2026-08-15T09:12:58Z</dcterms:modified>
</cp:coreProperties>
</file>