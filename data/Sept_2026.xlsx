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abdul\Dropbox\ZYN_ELECTRICAL\Reportings\MIS\"/>
    </mc:Choice>
  </mc:AlternateContent>
  <xr:revisionPtr revIDLastSave="0" documentId="13_ncr:1_{24EF715E-C89B-4395-917A-BF39BA96F129}" xr6:coauthVersionLast="47" xr6:coauthVersionMax="47" xr10:uidLastSave="{00000000-0000-0000-0000-000000000000}"/>
  <bookViews>
    <workbookView xWindow="-110" yWindow="-110" windowWidth="19420" windowHeight="11500" tabRatio="654" xr2:uid="{00000000-000D-0000-FFFF-FFFF00000000}"/>
  </bookViews>
  <sheets>
    <sheet name="PowerHouse Data" sheetId="2" r:id="rId1"/>
    <sheet name="Summary" sheetId="1" r:id="rId2"/>
    <sheet name="Compressor" sheetId="3" r:id="rId3"/>
    <sheet name="Diesel" sheetId="4" r:id="rId4"/>
    <sheet name="EB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5" l="1"/>
  <c r="D5" i="1"/>
  <c r="D6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4" i="5"/>
  <c r="D4" i="1" s="1"/>
  <c r="K5" i="5"/>
  <c r="K6" i="5"/>
  <c r="K7" i="5"/>
  <c r="D7" i="1" s="1"/>
  <c r="K8" i="5"/>
  <c r="D8" i="1" s="1"/>
  <c r="K9" i="5"/>
  <c r="D9" i="1" s="1"/>
  <c r="K10" i="5"/>
  <c r="D10" i="1" s="1"/>
  <c r="K11" i="5"/>
  <c r="D11" i="1" s="1"/>
  <c r="K12" i="5"/>
  <c r="D12" i="1" s="1"/>
  <c r="K13" i="5"/>
  <c r="D13" i="1" s="1"/>
  <c r="K14" i="5"/>
  <c r="D14" i="1" s="1"/>
  <c r="K15" i="5"/>
  <c r="D15" i="1" s="1"/>
  <c r="K16" i="5"/>
  <c r="K17" i="5"/>
  <c r="K2" i="5"/>
  <c r="K3" i="5"/>
  <c r="K35" i="5"/>
  <c r="P5" i="2"/>
  <c r="H5" i="2"/>
  <c r="S2" i="1"/>
  <c r="Q2" i="4" l="1"/>
  <c r="O2" i="4"/>
  <c r="Q35" i="4"/>
  <c r="Y35" i="4" s="1"/>
  <c r="T35" i="1" s="1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O35" i="4"/>
  <c r="W35" i="4" s="1"/>
  <c r="S35" i="1" s="1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F11" i="4"/>
  <c r="F10" i="4"/>
  <c r="W13" i="4" l="1"/>
  <c r="S13" i="1" s="1"/>
  <c r="N14" i="4"/>
  <c r="K14" i="1" s="1"/>
  <c r="Y4" i="4"/>
  <c r="T4" i="1" s="1"/>
  <c r="P5" i="4"/>
  <c r="L5" i="1" s="1"/>
  <c r="Y16" i="4"/>
  <c r="T16" i="1" s="1"/>
  <c r="P17" i="4"/>
  <c r="L17" i="1" s="1"/>
  <c r="Y28" i="4"/>
  <c r="T28" i="1" s="1"/>
  <c r="P29" i="4"/>
  <c r="L29" i="1" s="1"/>
  <c r="W14" i="4"/>
  <c r="S14" i="1" s="1"/>
  <c r="N15" i="4"/>
  <c r="K15" i="1" s="1"/>
  <c r="W26" i="4"/>
  <c r="S26" i="1" s="1"/>
  <c r="N27" i="4"/>
  <c r="K27" i="1" s="1"/>
  <c r="Y5" i="4"/>
  <c r="T5" i="1" s="1"/>
  <c r="P6" i="4"/>
  <c r="L6" i="1" s="1"/>
  <c r="Y29" i="4"/>
  <c r="T29" i="1" s="1"/>
  <c r="P30" i="4"/>
  <c r="L30" i="1" s="1"/>
  <c r="W5" i="4"/>
  <c r="S5" i="1" s="1"/>
  <c r="N6" i="4"/>
  <c r="K6" i="1" s="1"/>
  <c r="W17" i="4"/>
  <c r="S17" i="1" s="1"/>
  <c r="N18" i="4"/>
  <c r="K18" i="1" s="1"/>
  <c r="W29" i="4"/>
  <c r="S29" i="1" s="1"/>
  <c r="N30" i="4"/>
  <c r="K30" i="1" s="1"/>
  <c r="Y8" i="4"/>
  <c r="T8" i="1" s="1"/>
  <c r="P9" i="4"/>
  <c r="L9" i="1" s="1"/>
  <c r="Y20" i="4"/>
  <c r="T20" i="1" s="1"/>
  <c r="P21" i="4"/>
  <c r="L21" i="1" s="1"/>
  <c r="Y32" i="4"/>
  <c r="T32" i="1" s="1"/>
  <c r="P33" i="4"/>
  <c r="L33" i="1" s="1"/>
  <c r="W6" i="4"/>
  <c r="S6" i="1" s="1"/>
  <c r="N7" i="4"/>
  <c r="K7" i="1" s="1"/>
  <c r="W18" i="4"/>
  <c r="S18" i="1" s="1"/>
  <c r="N19" i="4"/>
  <c r="K19" i="1" s="1"/>
  <c r="W30" i="4"/>
  <c r="S30" i="1" s="1"/>
  <c r="N31" i="4"/>
  <c r="K31" i="1" s="1"/>
  <c r="Y9" i="4"/>
  <c r="T9" i="1" s="1"/>
  <c r="P10" i="4"/>
  <c r="L10" i="1" s="1"/>
  <c r="Y21" i="4"/>
  <c r="T21" i="1" s="1"/>
  <c r="P22" i="4"/>
  <c r="L22" i="1" s="1"/>
  <c r="Y33" i="4"/>
  <c r="T33" i="1" s="1"/>
  <c r="P34" i="4"/>
  <c r="L34" i="1" s="1"/>
  <c r="W7" i="4"/>
  <c r="S7" i="1" s="1"/>
  <c r="N8" i="4"/>
  <c r="K8" i="1" s="1"/>
  <c r="W19" i="4"/>
  <c r="S19" i="1" s="1"/>
  <c r="N20" i="4"/>
  <c r="K20" i="1" s="1"/>
  <c r="W31" i="4"/>
  <c r="S31" i="1" s="1"/>
  <c r="N32" i="4"/>
  <c r="K32" i="1" s="1"/>
  <c r="Y10" i="4"/>
  <c r="T10" i="1" s="1"/>
  <c r="P11" i="4"/>
  <c r="L11" i="1" s="1"/>
  <c r="Y22" i="4"/>
  <c r="T22" i="1" s="1"/>
  <c r="P23" i="4"/>
  <c r="L23" i="1" s="1"/>
  <c r="Y34" i="4"/>
  <c r="T34" i="1" s="1"/>
  <c r="P35" i="4"/>
  <c r="L35" i="1" s="1"/>
  <c r="W8" i="4"/>
  <c r="S8" i="1" s="1"/>
  <c r="N9" i="4"/>
  <c r="K9" i="1" s="1"/>
  <c r="W20" i="4"/>
  <c r="S20" i="1" s="1"/>
  <c r="N21" i="4"/>
  <c r="K21" i="1" s="1"/>
  <c r="W32" i="4"/>
  <c r="S32" i="1" s="1"/>
  <c r="N33" i="4"/>
  <c r="K33" i="1" s="1"/>
  <c r="Y11" i="4"/>
  <c r="T11" i="1" s="1"/>
  <c r="P12" i="4"/>
  <c r="L12" i="1" s="1"/>
  <c r="Y23" i="4"/>
  <c r="T23" i="1" s="1"/>
  <c r="P24" i="4"/>
  <c r="L24" i="1" s="1"/>
  <c r="W9" i="4"/>
  <c r="S9" i="1" s="1"/>
  <c r="N10" i="4"/>
  <c r="K10" i="1" s="1"/>
  <c r="W21" i="4"/>
  <c r="S21" i="1" s="1"/>
  <c r="N22" i="4"/>
  <c r="K22" i="1" s="1"/>
  <c r="W33" i="4"/>
  <c r="S33" i="1" s="1"/>
  <c r="N34" i="4"/>
  <c r="K34" i="1" s="1"/>
  <c r="Y12" i="4"/>
  <c r="T12" i="1" s="1"/>
  <c r="P13" i="4"/>
  <c r="L13" i="1" s="1"/>
  <c r="Y24" i="4"/>
  <c r="T24" i="1" s="1"/>
  <c r="P25" i="4"/>
  <c r="L25" i="1" s="1"/>
  <c r="N3" i="4"/>
  <c r="K3" i="1" s="1"/>
  <c r="N2" i="4"/>
  <c r="W10" i="4"/>
  <c r="S10" i="1" s="1"/>
  <c r="N11" i="4"/>
  <c r="K11" i="1" s="1"/>
  <c r="W22" i="4"/>
  <c r="S22" i="1" s="1"/>
  <c r="N23" i="4"/>
  <c r="K23" i="1" s="1"/>
  <c r="W34" i="4"/>
  <c r="S34" i="1" s="1"/>
  <c r="N35" i="4"/>
  <c r="K35" i="1" s="1"/>
  <c r="Y13" i="4"/>
  <c r="T13" i="1" s="1"/>
  <c r="P14" i="4"/>
  <c r="L14" i="1" s="1"/>
  <c r="Y25" i="4"/>
  <c r="T25" i="1" s="1"/>
  <c r="P26" i="4"/>
  <c r="L26" i="1" s="1"/>
  <c r="Y2" i="4"/>
  <c r="T2" i="1" s="1"/>
  <c r="P2" i="4"/>
  <c r="P3" i="4"/>
  <c r="L3" i="1" s="1"/>
  <c r="W11" i="4"/>
  <c r="S11" i="1" s="1"/>
  <c r="N12" i="4"/>
  <c r="K12" i="1" s="1"/>
  <c r="W23" i="4"/>
  <c r="S23" i="1" s="1"/>
  <c r="N24" i="4"/>
  <c r="K24" i="1" s="1"/>
  <c r="Y14" i="4"/>
  <c r="T14" i="1" s="1"/>
  <c r="P15" i="4"/>
  <c r="L15" i="1" s="1"/>
  <c r="Y26" i="4"/>
  <c r="T26" i="1" s="1"/>
  <c r="P27" i="4"/>
  <c r="L27" i="1" s="1"/>
  <c r="W12" i="4"/>
  <c r="S12" i="1" s="1"/>
  <c r="N13" i="4"/>
  <c r="K13" i="1" s="1"/>
  <c r="W24" i="4"/>
  <c r="S24" i="1" s="1"/>
  <c r="N25" i="4"/>
  <c r="K25" i="1" s="1"/>
  <c r="Y3" i="4"/>
  <c r="T3" i="1" s="1"/>
  <c r="P4" i="4"/>
  <c r="L4" i="1" s="1"/>
  <c r="Y15" i="4"/>
  <c r="T15" i="1" s="1"/>
  <c r="P16" i="4"/>
  <c r="L16" i="1" s="1"/>
  <c r="Y27" i="4"/>
  <c r="T27" i="1" s="1"/>
  <c r="P28" i="4"/>
  <c r="L28" i="1" s="1"/>
  <c r="W25" i="4"/>
  <c r="S25" i="1" s="1"/>
  <c r="N26" i="4"/>
  <c r="K26" i="1" s="1"/>
  <c r="Y17" i="4"/>
  <c r="T17" i="1" s="1"/>
  <c r="P18" i="4"/>
  <c r="L18" i="1" s="1"/>
  <c r="W3" i="4"/>
  <c r="S3" i="1" s="1"/>
  <c r="N4" i="4"/>
  <c r="K4" i="1" s="1"/>
  <c r="W15" i="4"/>
  <c r="S15" i="1" s="1"/>
  <c r="N16" i="4"/>
  <c r="K16" i="1" s="1"/>
  <c r="W27" i="4"/>
  <c r="S27" i="1" s="1"/>
  <c r="N28" i="4"/>
  <c r="K28" i="1" s="1"/>
  <c r="Y6" i="4"/>
  <c r="T6" i="1" s="1"/>
  <c r="P7" i="4"/>
  <c r="L7" i="1" s="1"/>
  <c r="Y18" i="4"/>
  <c r="T18" i="1" s="1"/>
  <c r="P19" i="4"/>
  <c r="L19" i="1" s="1"/>
  <c r="Y30" i="4"/>
  <c r="T30" i="1" s="1"/>
  <c r="P31" i="4"/>
  <c r="L31" i="1" s="1"/>
  <c r="W4" i="4"/>
  <c r="S4" i="1" s="1"/>
  <c r="N5" i="4"/>
  <c r="K5" i="1" s="1"/>
  <c r="W16" i="4"/>
  <c r="S16" i="1" s="1"/>
  <c r="N17" i="4"/>
  <c r="K17" i="1" s="1"/>
  <c r="W28" i="4"/>
  <c r="S28" i="1" s="1"/>
  <c r="N29" i="4"/>
  <c r="K29" i="1" s="1"/>
  <c r="Y7" i="4"/>
  <c r="T7" i="1" s="1"/>
  <c r="P8" i="4"/>
  <c r="L8" i="1" s="1"/>
  <c r="Y19" i="4"/>
  <c r="T19" i="1" s="1"/>
  <c r="P20" i="4"/>
  <c r="L20" i="1" s="1"/>
  <c r="Y31" i="4"/>
  <c r="T31" i="1" s="1"/>
  <c r="P32" i="4"/>
  <c r="L32" i="1" s="1"/>
  <c r="K33" i="4"/>
  <c r="S33" i="4" s="1"/>
  <c r="AD35" i="4"/>
  <c r="AD34" i="4"/>
  <c r="AD33" i="4"/>
  <c r="A3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4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3" i="3"/>
  <c r="D36" i="3"/>
  <c r="G36" i="3"/>
  <c r="J36" i="3"/>
  <c r="M36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" i="4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D35" i="4"/>
  <c r="F35" i="4"/>
  <c r="K35" i="4"/>
  <c r="M35" i="4"/>
  <c r="U35" i="4" s="1"/>
  <c r="R35" i="1" s="1"/>
  <c r="Z35" i="4"/>
  <c r="C35" i="3"/>
  <c r="D35" i="3" s="1"/>
  <c r="M35" i="1" s="1"/>
  <c r="F35" i="3"/>
  <c r="G35" i="3" s="1"/>
  <c r="N35" i="1" s="1"/>
  <c r="I35" i="3"/>
  <c r="H36" i="3" s="1"/>
  <c r="L35" i="3"/>
  <c r="M35" i="3" s="1"/>
  <c r="P35" i="1" s="1"/>
  <c r="Z34" i="4"/>
  <c r="Z33" i="4"/>
  <c r="M34" i="4"/>
  <c r="M33" i="4"/>
  <c r="K34" i="4"/>
  <c r="F34" i="4"/>
  <c r="F32" i="4"/>
  <c r="D34" i="4"/>
  <c r="D33" i="4"/>
  <c r="G35" i="5"/>
  <c r="F35" i="5"/>
  <c r="C35" i="5"/>
  <c r="G34" i="5"/>
  <c r="F34" i="5"/>
  <c r="C34" i="5"/>
  <c r="L34" i="3"/>
  <c r="M34" i="3" s="1"/>
  <c r="I34" i="3"/>
  <c r="F34" i="3"/>
  <c r="G34" i="3" s="1"/>
  <c r="C34" i="3"/>
  <c r="D34" i="3" s="1"/>
  <c r="C33" i="3"/>
  <c r="L33" i="3"/>
  <c r="F33" i="3"/>
  <c r="I33" i="3"/>
  <c r="F24" i="5"/>
  <c r="G24" i="5"/>
  <c r="C34" i="4" l="1"/>
  <c r="E34" i="4" s="1"/>
  <c r="H33" i="4"/>
  <c r="C35" i="4"/>
  <c r="E35" i="4" s="1"/>
  <c r="H34" i="4"/>
  <c r="Q34" i="1"/>
  <c r="S34" i="4"/>
  <c r="Q35" i="1"/>
  <c r="S35" i="4"/>
  <c r="Q33" i="1"/>
  <c r="H35" i="4"/>
  <c r="I35" i="4" s="1"/>
  <c r="AD35" i="1" s="1"/>
  <c r="K34" i="3"/>
  <c r="H35" i="3"/>
  <c r="G35" i="1" s="1"/>
  <c r="E35" i="3"/>
  <c r="F35" i="1" s="1"/>
  <c r="J34" i="3"/>
  <c r="D35" i="5"/>
  <c r="I35" i="5"/>
  <c r="E34" i="3"/>
  <c r="B34" i="3"/>
  <c r="K35" i="3"/>
  <c r="H35" i="1" s="1"/>
  <c r="L35" i="4"/>
  <c r="J35" i="1" s="1"/>
  <c r="B35" i="3"/>
  <c r="E35" i="1" s="1"/>
  <c r="J35" i="4"/>
  <c r="I35" i="1" s="1"/>
  <c r="J34" i="4"/>
  <c r="J35" i="3"/>
  <c r="O35" i="1" s="1"/>
  <c r="L34" i="4"/>
  <c r="E35" i="5"/>
  <c r="H35" i="5"/>
  <c r="G34" i="4" l="1"/>
  <c r="G35" i="4"/>
  <c r="B35" i="1" s="1"/>
  <c r="J35" i="5"/>
  <c r="I34" i="4"/>
  <c r="AD34" i="1" s="1"/>
  <c r="K25" i="4"/>
  <c r="Q25" i="1" l="1"/>
  <c r="S25" i="4"/>
  <c r="M25" i="4"/>
  <c r="M24" i="4"/>
  <c r="K24" i="4"/>
  <c r="L24" i="3"/>
  <c r="J34" i="1"/>
  <c r="Q24" i="1" l="1"/>
  <c r="S24" i="4"/>
  <c r="E34" i="1"/>
  <c r="F34" i="1"/>
  <c r="H34" i="1"/>
  <c r="I34" i="1"/>
  <c r="M34" i="1"/>
  <c r="N34" i="1"/>
  <c r="O34" i="1"/>
  <c r="P34" i="1"/>
  <c r="B34" i="1"/>
  <c r="U34" i="4"/>
  <c r="R34" i="1" s="1"/>
  <c r="AD10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9" i="4"/>
  <c r="AD8" i="4"/>
  <c r="AD7" i="4"/>
  <c r="AD6" i="4"/>
  <c r="AD5" i="4"/>
  <c r="AD4" i="4"/>
  <c r="AD3" i="4"/>
  <c r="AD2" i="4"/>
  <c r="Z7" i="4" l="1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6" i="4"/>
  <c r="Z5" i="4"/>
  <c r="Z4" i="4"/>
  <c r="Z3" i="4"/>
  <c r="AD11" i="4" l="1"/>
  <c r="AD12" i="4"/>
  <c r="G3" i="5"/>
  <c r="G33" i="5"/>
  <c r="I34" i="5" s="1"/>
  <c r="G32" i="5"/>
  <c r="G31" i="5"/>
  <c r="G30" i="5"/>
  <c r="G29" i="5"/>
  <c r="G28" i="5"/>
  <c r="G27" i="5"/>
  <c r="G26" i="5"/>
  <c r="G25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F33" i="5"/>
  <c r="F32" i="5"/>
  <c r="F31" i="5"/>
  <c r="F30" i="5"/>
  <c r="F29" i="5"/>
  <c r="F28" i="5"/>
  <c r="F27" i="5"/>
  <c r="F26" i="5"/>
  <c r="F25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E34" i="5" l="1"/>
  <c r="H34" i="5"/>
  <c r="E14" i="5"/>
  <c r="I33" i="4"/>
  <c r="AD33" i="1" s="1"/>
  <c r="F33" i="4"/>
  <c r="G33" i="3"/>
  <c r="N33" i="1" s="1"/>
  <c r="H34" i="3"/>
  <c r="G34" i="1" s="1"/>
  <c r="M33" i="3"/>
  <c r="P33" i="1" s="1"/>
  <c r="H3" i="5"/>
  <c r="I3" i="5"/>
  <c r="B3" i="3"/>
  <c r="E3" i="1" s="1"/>
  <c r="I29" i="5"/>
  <c r="I17" i="5"/>
  <c r="I5" i="5"/>
  <c r="H29" i="5"/>
  <c r="H27" i="5"/>
  <c r="H17" i="5"/>
  <c r="H16" i="5"/>
  <c r="L3" i="4"/>
  <c r="J3" i="4"/>
  <c r="I3" i="1" s="1"/>
  <c r="K3" i="3"/>
  <c r="H3" i="1" s="1"/>
  <c r="H3" i="3"/>
  <c r="G3" i="1" s="1"/>
  <c r="E3" i="3"/>
  <c r="F3" i="1" s="1"/>
  <c r="C3" i="4"/>
  <c r="E3" i="4" s="1"/>
  <c r="C33" i="5"/>
  <c r="D34" i="5" s="1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D3" i="5" s="1"/>
  <c r="C3" i="1" s="1"/>
  <c r="M32" i="4"/>
  <c r="U32" i="4" s="1"/>
  <c r="R32" i="1" s="1"/>
  <c r="M31" i="4"/>
  <c r="M30" i="4"/>
  <c r="U30" i="4" s="1"/>
  <c r="R30" i="1" s="1"/>
  <c r="M29" i="4"/>
  <c r="M28" i="4"/>
  <c r="M27" i="4"/>
  <c r="U27" i="4" s="1"/>
  <c r="R27" i="1" s="1"/>
  <c r="M26" i="4"/>
  <c r="U26" i="4" s="1"/>
  <c r="R26" i="1" s="1"/>
  <c r="U24" i="4"/>
  <c r="R24" i="1" s="1"/>
  <c r="M23" i="4"/>
  <c r="M22" i="4"/>
  <c r="U22" i="4" s="1"/>
  <c r="R22" i="1" s="1"/>
  <c r="M21" i="4"/>
  <c r="M20" i="4"/>
  <c r="U20" i="4" s="1"/>
  <c r="R20" i="1" s="1"/>
  <c r="M19" i="4"/>
  <c r="M18" i="4"/>
  <c r="U18" i="4" s="1"/>
  <c r="R18" i="1" s="1"/>
  <c r="M17" i="4"/>
  <c r="U17" i="4" s="1"/>
  <c r="R17" i="1" s="1"/>
  <c r="M16" i="4"/>
  <c r="U16" i="4" s="1"/>
  <c r="R16" i="1" s="1"/>
  <c r="M15" i="4"/>
  <c r="U15" i="4" s="1"/>
  <c r="R15" i="1" s="1"/>
  <c r="M14" i="4"/>
  <c r="U14" i="4" s="1"/>
  <c r="R14" i="1" s="1"/>
  <c r="M13" i="4"/>
  <c r="M12" i="4"/>
  <c r="U12" i="4" s="1"/>
  <c r="R12" i="1" s="1"/>
  <c r="M11" i="4"/>
  <c r="M10" i="4"/>
  <c r="M9" i="4"/>
  <c r="M8" i="4"/>
  <c r="M7" i="4"/>
  <c r="M6" i="4"/>
  <c r="U6" i="4" s="1"/>
  <c r="R6" i="1" s="1"/>
  <c r="M5" i="4"/>
  <c r="M4" i="4"/>
  <c r="U4" i="4" s="1"/>
  <c r="R4" i="1" s="1"/>
  <c r="M3" i="4"/>
  <c r="K32" i="4"/>
  <c r="K31" i="4"/>
  <c r="K30" i="4"/>
  <c r="K29" i="4"/>
  <c r="K28" i="4"/>
  <c r="K27" i="4"/>
  <c r="K26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D32" i="4"/>
  <c r="D31" i="4"/>
  <c r="D30" i="4"/>
  <c r="D29" i="4"/>
  <c r="D28" i="4"/>
  <c r="D27" i="4"/>
  <c r="H27" i="4" s="1"/>
  <c r="D26" i="4"/>
  <c r="D25" i="4"/>
  <c r="H25" i="4" s="1"/>
  <c r="D24" i="4"/>
  <c r="D23" i="4"/>
  <c r="H23" i="4" s="1"/>
  <c r="D22" i="4"/>
  <c r="D21" i="4"/>
  <c r="D20" i="4"/>
  <c r="H20" i="4" s="1"/>
  <c r="D19" i="4"/>
  <c r="D18" i="4"/>
  <c r="H18" i="4" s="1"/>
  <c r="D17" i="4"/>
  <c r="H17" i="4" s="1"/>
  <c r="D16" i="4"/>
  <c r="H16" i="4" s="1"/>
  <c r="D15" i="4"/>
  <c r="H15" i="4" s="1"/>
  <c r="D14" i="4"/>
  <c r="H14" i="4" s="1"/>
  <c r="D13" i="4"/>
  <c r="D12" i="4"/>
  <c r="D11" i="4"/>
  <c r="D10" i="4"/>
  <c r="D9" i="4"/>
  <c r="H9" i="4" s="1"/>
  <c r="D8" i="4"/>
  <c r="D7" i="4"/>
  <c r="D6" i="4"/>
  <c r="H6" i="4" s="1"/>
  <c r="D5" i="4"/>
  <c r="D4" i="4"/>
  <c r="H4" i="4" s="1"/>
  <c r="D3" i="4"/>
  <c r="H3" i="4" s="1"/>
  <c r="L32" i="3"/>
  <c r="L31" i="3"/>
  <c r="L30" i="3"/>
  <c r="L29" i="3"/>
  <c r="M29" i="3" s="1"/>
  <c r="P29" i="1" s="1"/>
  <c r="L28" i="3"/>
  <c r="M28" i="3" s="1"/>
  <c r="P28" i="1" s="1"/>
  <c r="L27" i="3"/>
  <c r="L26" i="3"/>
  <c r="M26" i="3" s="1"/>
  <c r="P26" i="1" s="1"/>
  <c r="L25" i="3"/>
  <c r="M24" i="3"/>
  <c r="P24" i="1" s="1"/>
  <c r="L23" i="3"/>
  <c r="L22" i="3"/>
  <c r="M22" i="3" s="1"/>
  <c r="P22" i="1" s="1"/>
  <c r="L21" i="3"/>
  <c r="L20" i="3"/>
  <c r="M20" i="3" s="1"/>
  <c r="P20" i="1" s="1"/>
  <c r="L19" i="3"/>
  <c r="L18" i="3"/>
  <c r="L17" i="3"/>
  <c r="L16" i="3"/>
  <c r="L15" i="3"/>
  <c r="L14" i="3"/>
  <c r="M14" i="3" s="1"/>
  <c r="P14" i="1" s="1"/>
  <c r="L13" i="3"/>
  <c r="M13" i="3" s="1"/>
  <c r="P13" i="1" s="1"/>
  <c r="L12" i="3"/>
  <c r="M12" i="3" s="1"/>
  <c r="P12" i="1" s="1"/>
  <c r="L11" i="3"/>
  <c r="M11" i="3" s="1"/>
  <c r="P11" i="1" s="1"/>
  <c r="L10" i="3"/>
  <c r="M10" i="3" s="1"/>
  <c r="P10" i="1" s="1"/>
  <c r="L9" i="3"/>
  <c r="L8" i="3"/>
  <c r="M8" i="3" s="1"/>
  <c r="P8" i="1" s="1"/>
  <c r="L7" i="3"/>
  <c r="L6" i="3"/>
  <c r="L5" i="3"/>
  <c r="M5" i="3" s="1"/>
  <c r="P5" i="1" s="1"/>
  <c r="L4" i="3"/>
  <c r="L3" i="3"/>
  <c r="M3" i="3" s="1"/>
  <c r="P3" i="1" s="1"/>
  <c r="I32" i="3"/>
  <c r="J32" i="3" s="1"/>
  <c r="O32" i="1" s="1"/>
  <c r="I31" i="3"/>
  <c r="I30" i="3"/>
  <c r="J30" i="3" s="1"/>
  <c r="O30" i="1" s="1"/>
  <c r="I29" i="3"/>
  <c r="J29" i="3" s="1"/>
  <c r="O29" i="1" s="1"/>
  <c r="I28" i="3"/>
  <c r="J28" i="3" s="1"/>
  <c r="O28" i="1" s="1"/>
  <c r="I27" i="3"/>
  <c r="J27" i="3" s="1"/>
  <c r="O27" i="1" s="1"/>
  <c r="I26" i="3"/>
  <c r="I25" i="3"/>
  <c r="I24" i="3"/>
  <c r="J24" i="3" s="1"/>
  <c r="O24" i="1" s="1"/>
  <c r="I23" i="3"/>
  <c r="J23" i="3" s="1"/>
  <c r="O23" i="1" s="1"/>
  <c r="I22" i="3"/>
  <c r="I21" i="3"/>
  <c r="I20" i="3"/>
  <c r="I19" i="3"/>
  <c r="J19" i="3" s="1"/>
  <c r="O19" i="1" s="1"/>
  <c r="I18" i="3"/>
  <c r="I17" i="3"/>
  <c r="J17" i="3" s="1"/>
  <c r="O17" i="1" s="1"/>
  <c r="I16" i="3"/>
  <c r="I15" i="3"/>
  <c r="J15" i="3" s="1"/>
  <c r="O15" i="1" s="1"/>
  <c r="I14" i="3"/>
  <c r="I13" i="3"/>
  <c r="I12" i="3"/>
  <c r="J12" i="3" s="1"/>
  <c r="O12" i="1" s="1"/>
  <c r="I11" i="3"/>
  <c r="J11" i="3" s="1"/>
  <c r="O11" i="1" s="1"/>
  <c r="I10" i="3"/>
  <c r="I9" i="3"/>
  <c r="I8" i="3"/>
  <c r="J8" i="3" s="1"/>
  <c r="O8" i="1" s="1"/>
  <c r="I7" i="3"/>
  <c r="I6" i="3"/>
  <c r="I5" i="3"/>
  <c r="J5" i="3" s="1"/>
  <c r="O5" i="1" s="1"/>
  <c r="I4" i="3"/>
  <c r="I3" i="3"/>
  <c r="F32" i="3"/>
  <c r="G32" i="3" s="1"/>
  <c r="N32" i="1" s="1"/>
  <c r="F31" i="3"/>
  <c r="G31" i="3" s="1"/>
  <c r="N31" i="1" s="1"/>
  <c r="F30" i="3"/>
  <c r="F29" i="3"/>
  <c r="G29" i="3" s="1"/>
  <c r="N29" i="1" s="1"/>
  <c r="F28" i="3"/>
  <c r="G28" i="3" s="1"/>
  <c r="N28" i="1" s="1"/>
  <c r="F27" i="3"/>
  <c r="G27" i="3" s="1"/>
  <c r="N27" i="1" s="1"/>
  <c r="F26" i="3"/>
  <c r="F25" i="3"/>
  <c r="G25" i="3" s="1"/>
  <c r="N25" i="1" s="1"/>
  <c r="F24" i="3"/>
  <c r="F23" i="3"/>
  <c r="F22" i="3"/>
  <c r="F21" i="3"/>
  <c r="F20" i="3"/>
  <c r="G20" i="3" s="1"/>
  <c r="N20" i="1" s="1"/>
  <c r="F19" i="3"/>
  <c r="G19" i="3" s="1"/>
  <c r="N19" i="1" s="1"/>
  <c r="F18" i="3"/>
  <c r="G18" i="3" s="1"/>
  <c r="N18" i="1" s="1"/>
  <c r="F17" i="3"/>
  <c r="G17" i="3" s="1"/>
  <c r="N17" i="1" s="1"/>
  <c r="F16" i="3"/>
  <c r="G16" i="3" s="1"/>
  <c r="N16" i="1" s="1"/>
  <c r="F15" i="3"/>
  <c r="G15" i="3" s="1"/>
  <c r="N15" i="1" s="1"/>
  <c r="F14" i="3"/>
  <c r="F13" i="3"/>
  <c r="G13" i="3" s="1"/>
  <c r="N13" i="1" s="1"/>
  <c r="F12" i="3"/>
  <c r="F11" i="3"/>
  <c r="G11" i="3" s="1"/>
  <c r="N11" i="1" s="1"/>
  <c r="F10" i="3"/>
  <c r="F9" i="3"/>
  <c r="G9" i="3" s="1"/>
  <c r="N9" i="1" s="1"/>
  <c r="F8" i="3"/>
  <c r="G8" i="3" s="1"/>
  <c r="N8" i="1" s="1"/>
  <c r="F7" i="3"/>
  <c r="F6" i="3"/>
  <c r="G6" i="3" s="1"/>
  <c r="N6" i="1" s="1"/>
  <c r="F5" i="3"/>
  <c r="G5" i="3" s="1"/>
  <c r="N5" i="1" s="1"/>
  <c r="F4" i="3"/>
  <c r="G4" i="3" s="1"/>
  <c r="N4" i="1" s="1"/>
  <c r="F3" i="3"/>
  <c r="G3" i="3" s="1"/>
  <c r="N3" i="1" s="1"/>
  <c r="C3" i="3"/>
  <c r="C4" i="3"/>
  <c r="C5" i="3"/>
  <c r="C6" i="3"/>
  <c r="D6" i="3" s="1"/>
  <c r="M6" i="1" s="1"/>
  <c r="C7" i="3"/>
  <c r="C8" i="3"/>
  <c r="D8" i="3" s="1"/>
  <c r="M8" i="1" s="1"/>
  <c r="C9" i="3"/>
  <c r="D9" i="3" s="1"/>
  <c r="M9" i="1" s="1"/>
  <c r="C10" i="3"/>
  <c r="D10" i="3" s="1"/>
  <c r="M10" i="1" s="1"/>
  <c r="C11" i="3"/>
  <c r="C12" i="3"/>
  <c r="D12" i="3" s="1"/>
  <c r="M12" i="1" s="1"/>
  <c r="C13" i="3"/>
  <c r="D13" i="3" s="1"/>
  <c r="M13" i="1" s="1"/>
  <c r="C14" i="3"/>
  <c r="D14" i="3" s="1"/>
  <c r="M14" i="1" s="1"/>
  <c r="C15" i="3"/>
  <c r="D15" i="3" s="1"/>
  <c r="M15" i="1" s="1"/>
  <c r="C16" i="3"/>
  <c r="D16" i="3" s="1"/>
  <c r="M16" i="1" s="1"/>
  <c r="C17" i="3"/>
  <c r="C18" i="3"/>
  <c r="C19" i="3"/>
  <c r="C20" i="3"/>
  <c r="C21" i="3"/>
  <c r="D21" i="3" s="1"/>
  <c r="M21" i="1" s="1"/>
  <c r="C22" i="3"/>
  <c r="C23" i="3"/>
  <c r="C24" i="3"/>
  <c r="D24" i="3" s="1"/>
  <c r="M24" i="1" s="1"/>
  <c r="C25" i="3"/>
  <c r="C26" i="3"/>
  <c r="D26" i="3" s="1"/>
  <c r="M26" i="1" s="1"/>
  <c r="C27" i="3"/>
  <c r="D27" i="3" s="1"/>
  <c r="M27" i="1" s="1"/>
  <c r="C28" i="3"/>
  <c r="C29" i="3"/>
  <c r="C30" i="3"/>
  <c r="C31" i="3"/>
  <c r="C32" i="3"/>
  <c r="D32" i="3" s="1"/>
  <c r="M32" i="1" s="1"/>
  <c r="M32" i="3"/>
  <c r="P32" i="1" s="1"/>
  <c r="F3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9" i="4"/>
  <c r="F8" i="4"/>
  <c r="F7" i="4"/>
  <c r="F6" i="4"/>
  <c r="F5" i="4"/>
  <c r="F4" i="4"/>
  <c r="J3" i="1" l="1"/>
  <c r="H26" i="4"/>
  <c r="I26" i="4" s="1"/>
  <c r="AD26" i="1" s="1"/>
  <c r="H28" i="4"/>
  <c r="I28" i="4" s="1"/>
  <c r="AD28" i="1" s="1"/>
  <c r="H5" i="4"/>
  <c r="I5" i="4" s="1"/>
  <c r="AD5" i="1" s="1"/>
  <c r="H29" i="4"/>
  <c r="I29" i="4" s="1"/>
  <c r="AD29" i="1" s="1"/>
  <c r="H30" i="4"/>
  <c r="I30" i="4" s="1"/>
  <c r="AD30" i="1" s="1"/>
  <c r="H7" i="4"/>
  <c r="I7" i="4" s="1"/>
  <c r="AD7" i="1" s="1"/>
  <c r="H19" i="4"/>
  <c r="I19" i="4" s="1"/>
  <c r="AD19" i="1" s="1"/>
  <c r="H31" i="4"/>
  <c r="I31" i="4" s="1"/>
  <c r="AD31" i="1" s="1"/>
  <c r="H8" i="4"/>
  <c r="I8" i="4" s="1"/>
  <c r="AD8" i="1" s="1"/>
  <c r="H32" i="4"/>
  <c r="I32" i="4" s="1"/>
  <c r="AD32" i="1" s="1"/>
  <c r="H21" i="4"/>
  <c r="I21" i="4" s="1"/>
  <c r="AD21" i="1" s="1"/>
  <c r="H10" i="4"/>
  <c r="I10" i="4" s="1"/>
  <c r="AD10" i="1" s="1"/>
  <c r="H22" i="4"/>
  <c r="I22" i="4" s="1"/>
  <c r="AD22" i="1" s="1"/>
  <c r="H13" i="4"/>
  <c r="I13" i="4" s="1"/>
  <c r="AD13" i="1" s="1"/>
  <c r="H11" i="4"/>
  <c r="I11" i="4" s="1"/>
  <c r="AD11" i="1" s="1"/>
  <c r="H12" i="4"/>
  <c r="I12" i="4" s="1"/>
  <c r="AD12" i="1" s="1"/>
  <c r="H24" i="4"/>
  <c r="I24" i="4" s="1"/>
  <c r="AD24" i="1" s="1"/>
  <c r="Q19" i="1"/>
  <c r="S19" i="4"/>
  <c r="U3" i="4"/>
  <c r="R3" i="1" s="1"/>
  <c r="Q20" i="1"/>
  <c r="S20" i="4"/>
  <c r="Q21" i="1"/>
  <c r="S21" i="4"/>
  <c r="Q22" i="1"/>
  <c r="S22" i="4"/>
  <c r="Q26" i="1"/>
  <c r="S26" i="4"/>
  <c r="Q27" i="1"/>
  <c r="S27" i="4"/>
  <c r="Q28" i="1"/>
  <c r="S28" i="4"/>
  <c r="Q3" i="1"/>
  <c r="S3" i="4"/>
  <c r="Q29" i="1"/>
  <c r="S29" i="4"/>
  <c r="Q4" i="1"/>
  <c r="S4" i="4"/>
  <c r="Q30" i="1"/>
  <c r="S30" i="4"/>
  <c r="Q17" i="1"/>
  <c r="S17" i="4"/>
  <c r="Q31" i="1"/>
  <c r="S31" i="4"/>
  <c r="Q23" i="1"/>
  <c r="S23" i="4"/>
  <c r="Q18" i="1"/>
  <c r="S18" i="4"/>
  <c r="Q32" i="1"/>
  <c r="S32" i="4"/>
  <c r="Q16" i="1"/>
  <c r="S16" i="4"/>
  <c r="Q15" i="1"/>
  <c r="S15" i="4"/>
  <c r="Q14" i="1"/>
  <c r="S14" i="4"/>
  <c r="Q13" i="1"/>
  <c r="S13" i="4"/>
  <c r="Q12" i="1"/>
  <c r="S12" i="4"/>
  <c r="Q11" i="1"/>
  <c r="S11" i="4"/>
  <c r="Q10" i="1"/>
  <c r="S10" i="4"/>
  <c r="Q9" i="1"/>
  <c r="S9" i="4"/>
  <c r="Q8" i="1"/>
  <c r="S8" i="4"/>
  <c r="Q7" i="1"/>
  <c r="S7" i="4"/>
  <c r="Q6" i="1"/>
  <c r="S6" i="4"/>
  <c r="Q5" i="1"/>
  <c r="S5" i="4"/>
  <c r="H32" i="3"/>
  <c r="G32" i="1" s="1"/>
  <c r="I4" i="4"/>
  <c r="AD4" i="1" s="1"/>
  <c r="J34" i="5"/>
  <c r="C27" i="4"/>
  <c r="E27" i="4" s="1"/>
  <c r="D33" i="5"/>
  <c r="E27" i="3"/>
  <c r="F27" i="1" s="1"/>
  <c r="E33" i="3"/>
  <c r="F33" i="1" s="1"/>
  <c r="E21" i="3"/>
  <c r="F21" i="1" s="1"/>
  <c r="K25" i="3"/>
  <c r="H25" i="1" s="1"/>
  <c r="K21" i="3"/>
  <c r="H21" i="1" s="1"/>
  <c r="H20" i="3"/>
  <c r="G20" i="1" s="1"/>
  <c r="E16" i="3"/>
  <c r="F16" i="1" s="1"/>
  <c r="J31" i="3"/>
  <c r="O31" i="1" s="1"/>
  <c r="B25" i="3"/>
  <c r="E25" i="1" s="1"/>
  <c r="H11" i="3"/>
  <c r="G11" i="1" s="1"/>
  <c r="H23" i="3"/>
  <c r="G23" i="1" s="1"/>
  <c r="D20" i="5"/>
  <c r="D32" i="5"/>
  <c r="J20" i="3"/>
  <c r="O20" i="1" s="1"/>
  <c r="D25" i="3"/>
  <c r="M25" i="1" s="1"/>
  <c r="D10" i="5"/>
  <c r="M25" i="3"/>
  <c r="P25" i="1" s="1"/>
  <c r="K24" i="3"/>
  <c r="H24" i="1" s="1"/>
  <c r="K14" i="3"/>
  <c r="H14" i="1" s="1"/>
  <c r="H19" i="3"/>
  <c r="G19" i="1" s="1"/>
  <c r="H12" i="3"/>
  <c r="G12" i="1" s="1"/>
  <c r="J33" i="4"/>
  <c r="I33" i="1" s="1"/>
  <c r="L33" i="4"/>
  <c r="J33" i="1" s="1"/>
  <c r="J24" i="4"/>
  <c r="I24" i="1" s="1"/>
  <c r="L30" i="4"/>
  <c r="J30" i="1" s="1"/>
  <c r="K10" i="3"/>
  <c r="H10" i="1" s="1"/>
  <c r="C18" i="4"/>
  <c r="E18" i="4" s="1"/>
  <c r="I17" i="4"/>
  <c r="AD17" i="1" s="1"/>
  <c r="C7" i="4"/>
  <c r="E7" i="4" s="1"/>
  <c r="I6" i="4"/>
  <c r="AD6" i="1" s="1"/>
  <c r="C19" i="4"/>
  <c r="I18" i="4"/>
  <c r="AD18" i="1" s="1"/>
  <c r="C10" i="4"/>
  <c r="I9" i="4"/>
  <c r="AD9" i="1" s="1"/>
  <c r="C24" i="4"/>
  <c r="I23" i="4"/>
  <c r="AD23" i="1" s="1"/>
  <c r="C17" i="4"/>
  <c r="E17" i="4" s="1"/>
  <c r="I16" i="4"/>
  <c r="AD16" i="1" s="1"/>
  <c r="C21" i="4"/>
  <c r="E21" i="4" s="1"/>
  <c r="I20" i="4"/>
  <c r="AD20" i="1" s="1"/>
  <c r="C26" i="4"/>
  <c r="E26" i="4" s="1"/>
  <c r="I25" i="4"/>
  <c r="AD25" i="1" s="1"/>
  <c r="C15" i="4"/>
  <c r="E15" i="4" s="1"/>
  <c r="I14" i="4"/>
  <c r="AD14" i="1" s="1"/>
  <c r="C4" i="4"/>
  <c r="C16" i="4"/>
  <c r="E16" i="4" s="1"/>
  <c r="I15" i="4"/>
  <c r="AD15" i="1" s="1"/>
  <c r="C28" i="4"/>
  <c r="E28" i="4" s="1"/>
  <c r="I27" i="4"/>
  <c r="AD27" i="1" s="1"/>
  <c r="H8" i="3"/>
  <c r="G8" i="1" s="1"/>
  <c r="H5" i="5"/>
  <c r="H18" i="5"/>
  <c r="H31" i="5"/>
  <c r="H20" i="5"/>
  <c r="H33" i="5"/>
  <c r="H10" i="5"/>
  <c r="H23" i="5"/>
  <c r="H24" i="5"/>
  <c r="H13" i="5"/>
  <c r="H14" i="5"/>
  <c r="H26" i="5"/>
  <c r="H30" i="5"/>
  <c r="H7" i="5"/>
  <c r="H32" i="5"/>
  <c r="H9" i="5"/>
  <c r="H22" i="5"/>
  <c r="H11" i="5"/>
  <c r="H12" i="5"/>
  <c r="H15" i="5"/>
  <c r="H6" i="5"/>
  <c r="H19" i="5"/>
  <c r="H8" i="5"/>
  <c r="H21" i="5"/>
  <c r="H25" i="5"/>
  <c r="H4" i="5"/>
  <c r="H28" i="5"/>
  <c r="K4" i="3"/>
  <c r="H4" i="1" s="1"/>
  <c r="B33" i="3"/>
  <c r="E33" i="1" s="1"/>
  <c r="G21" i="3"/>
  <c r="N21" i="1" s="1"/>
  <c r="D13" i="5"/>
  <c r="D25" i="5"/>
  <c r="K33" i="3"/>
  <c r="H33" i="1" s="1"/>
  <c r="H33" i="3"/>
  <c r="G33" i="1" s="1"/>
  <c r="B10" i="3"/>
  <c r="E10" i="1" s="1"/>
  <c r="J22" i="3"/>
  <c r="O22" i="1" s="1"/>
  <c r="E3" i="5"/>
  <c r="J3" i="5" s="1"/>
  <c r="C33" i="4"/>
  <c r="E33" i="4" s="1"/>
  <c r="E6" i="3"/>
  <c r="F6" i="1" s="1"/>
  <c r="E18" i="3"/>
  <c r="F18" i="1" s="1"/>
  <c r="J17" i="4"/>
  <c r="I17" i="1" s="1"/>
  <c r="J29" i="4"/>
  <c r="I29" i="1" s="1"/>
  <c r="D33" i="3"/>
  <c r="M33" i="1" s="1"/>
  <c r="E31" i="3"/>
  <c r="F31" i="1" s="1"/>
  <c r="H16" i="3"/>
  <c r="G16" i="1" s="1"/>
  <c r="E17" i="3"/>
  <c r="F17" i="1" s="1"/>
  <c r="E8" i="3"/>
  <c r="F8" i="1" s="1"/>
  <c r="E32" i="3"/>
  <c r="F32" i="1" s="1"/>
  <c r="D21" i="5"/>
  <c r="C21" i="1" s="1"/>
  <c r="U33" i="4"/>
  <c r="R33" i="1" s="1"/>
  <c r="J33" i="3"/>
  <c r="O33" i="1" s="1"/>
  <c r="D8" i="5"/>
  <c r="D22" i="5"/>
  <c r="C22" i="1" s="1"/>
  <c r="D14" i="5"/>
  <c r="D26" i="5"/>
  <c r="L16" i="4"/>
  <c r="J16" i="1" s="1"/>
  <c r="L28" i="4"/>
  <c r="J28" i="1" s="1"/>
  <c r="U28" i="4"/>
  <c r="R28" i="1" s="1"/>
  <c r="C12" i="4"/>
  <c r="B13" i="3"/>
  <c r="E13" i="1" s="1"/>
  <c r="E29" i="3"/>
  <c r="F29" i="1" s="1"/>
  <c r="K16" i="3"/>
  <c r="H16" i="1" s="1"/>
  <c r="K28" i="3"/>
  <c r="H28" i="1" s="1"/>
  <c r="B24" i="3"/>
  <c r="E24" i="1" s="1"/>
  <c r="B11" i="3"/>
  <c r="E11" i="1" s="1"/>
  <c r="B23" i="3"/>
  <c r="E23" i="1" s="1"/>
  <c r="D11" i="3"/>
  <c r="M11" i="1" s="1"/>
  <c r="M23" i="3"/>
  <c r="P23" i="1" s="1"/>
  <c r="H29" i="3"/>
  <c r="G29" i="1" s="1"/>
  <c r="E9" i="3"/>
  <c r="F9" i="1" s="1"/>
  <c r="H30" i="3"/>
  <c r="G30" i="1" s="1"/>
  <c r="B27" i="3"/>
  <c r="E27" i="1" s="1"/>
  <c r="H21" i="3"/>
  <c r="G21" i="1" s="1"/>
  <c r="K26" i="3"/>
  <c r="H26" i="1" s="1"/>
  <c r="J7" i="4"/>
  <c r="I7" i="1" s="1"/>
  <c r="J31" i="4"/>
  <c r="I31" i="1" s="1"/>
  <c r="L12" i="4"/>
  <c r="J12" i="1" s="1"/>
  <c r="L27" i="4"/>
  <c r="J27" i="1" s="1"/>
  <c r="J15" i="4"/>
  <c r="I15" i="1" s="1"/>
  <c r="J27" i="4"/>
  <c r="I27" i="1" s="1"/>
  <c r="J23" i="4"/>
  <c r="I23" i="1" s="1"/>
  <c r="C31" i="4"/>
  <c r="J12" i="4"/>
  <c r="I12" i="1" s="1"/>
  <c r="L5" i="4"/>
  <c r="J5" i="1" s="1"/>
  <c r="J14" i="4"/>
  <c r="I14" i="1" s="1"/>
  <c r="J28" i="4"/>
  <c r="I28" i="1" s="1"/>
  <c r="E19" i="3"/>
  <c r="F19" i="1" s="1"/>
  <c r="M15" i="3"/>
  <c r="P15" i="1" s="1"/>
  <c r="C5" i="4"/>
  <c r="E5" i="4" s="1"/>
  <c r="B26" i="3"/>
  <c r="E26" i="1" s="1"/>
  <c r="E30" i="3"/>
  <c r="F30" i="1" s="1"/>
  <c r="H9" i="3"/>
  <c r="G9" i="1" s="1"/>
  <c r="L7" i="4"/>
  <c r="J7" i="1" s="1"/>
  <c r="L19" i="4"/>
  <c r="J19" i="1" s="1"/>
  <c r="J25" i="4"/>
  <c r="I25" i="1" s="1"/>
  <c r="B15" i="3"/>
  <c r="E15" i="1" s="1"/>
  <c r="D11" i="5"/>
  <c r="C11" i="1" s="1"/>
  <c r="D23" i="5"/>
  <c r="C23" i="1" s="1"/>
  <c r="E26" i="3"/>
  <c r="F26" i="1" s="1"/>
  <c r="D23" i="3"/>
  <c r="M23" i="1" s="1"/>
  <c r="K12" i="3"/>
  <c r="H12" i="1" s="1"/>
  <c r="M27" i="3"/>
  <c r="P27" i="1" s="1"/>
  <c r="E7" i="3"/>
  <c r="F7" i="1" s="1"/>
  <c r="J18" i="3"/>
  <c r="O18" i="1" s="1"/>
  <c r="J4" i="4"/>
  <c r="I4" i="1" s="1"/>
  <c r="H22" i="3"/>
  <c r="G22" i="1" s="1"/>
  <c r="K15" i="3"/>
  <c r="H15" i="1" s="1"/>
  <c r="K27" i="3"/>
  <c r="H27" i="1" s="1"/>
  <c r="J16" i="4"/>
  <c r="I16" i="1" s="1"/>
  <c r="H31" i="3"/>
  <c r="G31" i="1" s="1"/>
  <c r="D15" i="5"/>
  <c r="D27" i="5"/>
  <c r="K29" i="3"/>
  <c r="H29" i="1" s="1"/>
  <c r="G26" i="3"/>
  <c r="N26" i="1" s="1"/>
  <c r="D28" i="5"/>
  <c r="U5" i="4"/>
  <c r="R5" i="1" s="1"/>
  <c r="J9" i="3"/>
  <c r="O9" i="1" s="1"/>
  <c r="D5" i="5"/>
  <c r="C5" i="1" s="1"/>
  <c r="D17" i="5"/>
  <c r="C17" i="1" s="1"/>
  <c r="D29" i="5"/>
  <c r="C29" i="1" s="1"/>
  <c r="B22" i="3"/>
  <c r="E22" i="1" s="1"/>
  <c r="B12" i="3"/>
  <c r="E12" i="1" s="1"/>
  <c r="E20" i="3"/>
  <c r="F20" i="1" s="1"/>
  <c r="D22" i="3"/>
  <c r="M22" i="1" s="1"/>
  <c r="D7" i="5"/>
  <c r="C7" i="1" s="1"/>
  <c r="D19" i="5"/>
  <c r="D31" i="5"/>
  <c r="K23" i="3"/>
  <c r="H23" i="1" s="1"/>
  <c r="G30" i="3"/>
  <c r="N30" i="1" s="1"/>
  <c r="D4" i="5"/>
  <c r="C4" i="1" s="1"/>
  <c r="D16" i="5"/>
  <c r="C16" i="1" s="1"/>
  <c r="E28" i="3"/>
  <c r="F28" i="1" s="1"/>
  <c r="C29" i="4"/>
  <c r="G7" i="3"/>
  <c r="N7" i="1" s="1"/>
  <c r="K13" i="3"/>
  <c r="H13" i="1" s="1"/>
  <c r="L22" i="4"/>
  <c r="J22" i="1" s="1"/>
  <c r="M21" i="3"/>
  <c r="P21" i="1" s="1"/>
  <c r="J22" i="4"/>
  <c r="I22" i="1" s="1"/>
  <c r="D9" i="5"/>
  <c r="H28" i="3"/>
  <c r="G28" i="1" s="1"/>
  <c r="H7" i="3"/>
  <c r="G7" i="1" s="1"/>
  <c r="H18" i="3"/>
  <c r="G18" i="1" s="1"/>
  <c r="C9" i="4"/>
  <c r="E9" i="4" s="1"/>
  <c r="G9" i="4" s="1"/>
  <c r="J26" i="4"/>
  <c r="I26" i="1" s="1"/>
  <c r="U19" i="4"/>
  <c r="R19" i="1" s="1"/>
  <c r="U7" i="4"/>
  <c r="R7" i="1" s="1"/>
  <c r="C8" i="4"/>
  <c r="E8" i="4" s="1"/>
  <c r="L17" i="4"/>
  <c r="J17" i="1" s="1"/>
  <c r="C14" i="4"/>
  <c r="E14" i="4" s="1"/>
  <c r="U29" i="4"/>
  <c r="R29" i="1" s="1"/>
  <c r="L15" i="4"/>
  <c r="J15" i="1" s="1"/>
  <c r="J10" i="4"/>
  <c r="I10" i="1" s="1"/>
  <c r="L4" i="4"/>
  <c r="J4" i="1" s="1"/>
  <c r="L20" i="4"/>
  <c r="J20" i="1" s="1"/>
  <c r="L29" i="4"/>
  <c r="J29" i="1" s="1"/>
  <c r="L6" i="4"/>
  <c r="J6" i="1" s="1"/>
  <c r="L18" i="4"/>
  <c r="J18" i="1" s="1"/>
  <c r="D24" i="5"/>
  <c r="C24" i="1" s="1"/>
  <c r="D12" i="5"/>
  <c r="I10" i="5"/>
  <c r="I22" i="5"/>
  <c r="D30" i="5"/>
  <c r="C30" i="1" s="1"/>
  <c r="D18" i="5"/>
  <c r="D6" i="5"/>
  <c r="C6" i="1" s="1"/>
  <c r="I26" i="5"/>
  <c r="I27" i="5"/>
  <c r="I6" i="5"/>
  <c r="I9" i="5"/>
  <c r="I21" i="5"/>
  <c r="I33" i="5"/>
  <c r="I25" i="5"/>
  <c r="I14" i="5"/>
  <c r="I15" i="5"/>
  <c r="I11" i="5"/>
  <c r="I23" i="5"/>
  <c r="I28" i="5"/>
  <c r="I24" i="5"/>
  <c r="I12" i="5"/>
  <c r="I18" i="5"/>
  <c r="I30" i="5"/>
  <c r="I7" i="5"/>
  <c r="I19" i="5"/>
  <c r="I31" i="5"/>
  <c r="K11" i="3"/>
  <c r="H11" i="1" s="1"/>
  <c r="B4" i="3"/>
  <c r="E4" i="1" s="1"/>
  <c r="J13" i="4"/>
  <c r="I13" i="1" s="1"/>
  <c r="E12" i="5"/>
  <c r="I13" i="5"/>
  <c r="E4" i="3"/>
  <c r="F4" i="1" s="1"/>
  <c r="E5" i="3"/>
  <c r="F5" i="1" s="1"/>
  <c r="I4" i="5"/>
  <c r="J11" i="4"/>
  <c r="I11" i="1" s="1"/>
  <c r="J6" i="3"/>
  <c r="O6" i="1" s="1"/>
  <c r="J7" i="3"/>
  <c r="O7" i="1" s="1"/>
  <c r="D29" i="3"/>
  <c r="M29" i="1" s="1"/>
  <c r="B30" i="3"/>
  <c r="E30" i="1" s="1"/>
  <c r="B18" i="3"/>
  <c r="E18" i="1" s="1"/>
  <c r="D17" i="3"/>
  <c r="M17" i="1" s="1"/>
  <c r="B6" i="3"/>
  <c r="E6" i="1" s="1"/>
  <c r="D5" i="3"/>
  <c r="M5" i="1" s="1"/>
  <c r="E13" i="3"/>
  <c r="F13" i="1" s="1"/>
  <c r="G12" i="3"/>
  <c r="N12" i="1" s="1"/>
  <c r="E25" i="3"/>
  <c r="F25" i="1" s="1"/>
  <c r="G24" i="3"/>
  <c r="N24" i="1" s="1"/>
  <c r="B5" i="3"/>
  <c r="E5" i="1" s="1"/>
  <c r="J19" i="4"/>
  <c r="I19" i="1" s="1"/>
  <c r="L23" i="4"/>
  <c r="J23" i="1" s="1"/>
  <c r="L24" i="4"/>
  <c r="J24" i="1" s="1"/>
  <c r="H14" i="3"/>
  <c r="G14" i="1" s="1"/>
  <c r="J13" i="3"/>
  <c r="O13" i="1" s="1"/>
  <c r="H13" i="3"/>
  <c r="G13" i="1" s="1"/>
  <c r="J25" i="3"/>
  <c r="O25" i="1" s="1"/>
  <c r="H26" i="3"/>
  <c r="G26" i="1" s="1"/>
  <c r="K7" i="3"/>
  <c r="H7" i="1" s="1"/>
  <c r="M6" i="3"/>
  <c r="P6" i="1" s="1"/>
  <c r="K6" i="3"/>
  <c r="H6" i="1" s="1"/>
  <c r="M18" i="3"/>
  <c r="P18" i="1" s="1"/>
  <c r="K19" i="3"/>
  <c r="H19" i="1" s="1"/>
  <c r="K31" i="3"/>
  <c r="H31" i="1" s="1"/>
  <c r="K30" i="3"/>
  <c r="H30" i="1" s="1"/>
  <c r="M30" i="3"/>
  <c r="P30" i="1" s="1"/>
  <c r="C11" i="4"/>
  <c r="E11" i="4" s="1"/>
  <c r="C23" i="4"/>
  <c r="E23" i="4" s="1"/>
  <c r="B32" i="3"/>
  <c r="E32" i="1" s="1"/>
  <c r="D31" i="3"/>
  <c r="M31" i="1" s="1"/>
  <c r="D19" i="3"/>
  <c r="M19" i="1" s="1"/>
  <c r="B20" i="3"/>
  <c r="E20" i="1" s="1"/>
  <c r="D7" i="3"/>
  <c r="M7" i="1" s="1"/>
  <c r="B8" i="3"/>
  <c r="E8" i="1" s="1"/>
  <c r="E11" i="3"/>
  <c r="F11" i="1" s="1"/>
  <c r="G10" i="3"/>
  <c r="N10" i="1" s="1"/>
  <c r="E10" i="3"/>
  <c r="F10" i="1" s="1"/>
  <c r="E23" i="3"/>
  <c r="F23" i="1" s="1"/>
  <c r="G22" i="3"/>
  <c r="N22" i="1" s="1"/>
  <c r="E22" i="3"/>
  <c r="F22" i="1" s="1"/>
  <c r="H4" i="3"/>
  <c r="G4" i="1" s="1"/>
  <c r="J3" i="3"/>
  <c r="O3" i="1" s="1"/>
  <c r="H15" i="3"/>
  <c r="G15" i="1" s="1"/>
  <c r="J14" i="3"/>
  <c r="O14" i="1" s="1"/>
  <c r="J26" i="3"/>
  <c r="O26" i="1" s="1"/>
  <c r="H27" i="3"/>
  <c r="G27" i="1" s="1"/>
  <c r="M7" i="3"/>
  <c r="P7" i="1" s="1"/>
  <c r="K8" i="3"/>
  <c r="H8" i="1" s="1"/>
  <c r="M19" i="3"/>
  <c r="P19" i="1" s="1"/>
  <c r="K20" i="3"/>
  <c r="H20" i="1" s="1"/>
  <c r="K32" i="3"/>
  <c r="H32" i="1" s="1"/>
  <c r="M31" i="3"/>
  <c r="P31" i="1" s="1"/>
  <c r="J9" i="4"/>
  <c r="I9" i="1" s="1"/>
  <c r="J8" i="4"/>
  <c r="I8" i="1" s="1"/>
  <c r="J20" i="4"/>
  <c r="I20" i="1" s="1"/>
  <c r="J21" i="4"/>
  <c r="I21" i="1" s="1"/>
  <c r="J32" i="4"/>
  <c r="I32" i="1" s="1"/>
  <c r="U13" i="4"/>
  <c r="R13" i="1" s="1"/>
  <c r="L13" i="4"/>
  <c r="J13" i="1" s="1"/>
  <c r="L14" i="4"/>
  <c r="J14" i="1" s="1"/>
  <c r="L26" i="4"/>
  <c r="J26" i="1" s="1"/>
  <c r="U25" i="4"/>
  <c r="R25" i="1" s="1"/>
  <c r="D30" i="3"/>
  <c r="M30" i="1" s="1"/>
  <c r="B31" i="3"/>
  <c r="E31" i="1" s="1"/>
  <c r="D18" i="3"/>
  <c r="M18" i="1" s="1"/>
  <c r="B19" i="3"/>
  <c r="E19" i="1" s="1"/>
  <c r="B7" i="3"/>
  <c r="E7" i="1" s="1"/>
  <c r="E12" i="3"/>
  <c r="F12" i="1" s="1"/>
  <c r="G23" i="3"/>
  <c r="N23" i="1" s="1"/>
  <c r="E24" i="3"/>
  <c r="F24" i="1" s="1"/>
  <c r="J4" i="3"/>
  <c r="O4" i="1" s="1"/>
  <c r="H5" i="3"/>
  <c r="G5" i="1" s="1"/>
  <c r="C13" i="4"/>
  <c r="E13" i="4" s="1"/>
  <c r="C25" i="4"/>
  <c r="E25" i="4" s="1"/>
  <c r="D28" i="3"/>
  <c r="M28" i="1" s="1"/>
  <c r="B28" i="3"/>
  <c r="E28" i="1" s="1"/>
  <c r="B16" i="3"/>
  <c r="E16" i="1" s="1"/>
  <c r="B17" i="3"/>
  <c r="E17" i="1" s="1"/>
  <c r="J16" i="3"/>
  <c r="O16" i="1" s="1"/>
  <c r="H17" i="3"/>
  <c r="G17" i="1" s="1"/>
  <c r="M9" i="3"/>
  <c r="P9" i="1" s="1"/>
  <c r="D3" i="3"/>
  <c r="M3" i="1" s="1"/>
  <c r="L32" i="4"/>
  <c r="J32" i="1" s="1"/>
  <c r="L31" i="4"/>
  <c r="J31" i="1" s="1"/>
  <c r="J10" i="3"/>
  <c r="O10" i="1" s="1"/>
  <c r="H10" i="3"/>
  <c r="G10" i="1" s="1"/>
  <c r="C20" i="4"/>
  <c r="E20" i="4" s="1"/>
  <c r="U8" i="4"/>
  <c r="R8" i="1" s="1"/>
  <c r="L8" i="4"/>
  <c r="J8" i="1" s="1"/>
  <c r="K22" i="3"/>
  <c r="H22" i="1" s="1"/>
  <c r="E15" i="3"/>
  <c r="F15" i="1" s="1"/>
  <c r="G14" i="3"/>
  <c r="N14" i="1" s="1"/>
  <c r="D4" i="3"/>
  <c r="M4" i="1" s="1"/>
  <c r="C30" i="4"/>
  <c r="E30" i="4" s="1"/>
  <c r="U31" i="4"/>
  <c r="R31" i="1" s="1"/>
  <c r="C32" i="4"/>
  <c r="E32" i="4" s="1"/>
  <c r="K9" i="3"/>
  <c r="H9" i="1" s="1"/>
  <c r="C6" i="4"/>
  <c r="E6" i="4" s="1"/>
  <c r="J21" i="3"/>
  <c r="O21" i="1" s="1"/>
  <c r="H6" i="3"/>
  <c r="G6" i="1" s="1"/>
  <c r="H24" i="3"/>
  <c r="G24" i="1" s="1"/>
  <c r="M4" i="3"/>
  <c r="P4" i="1" s="1"/>
  <c r="K5" i="3"/>
  <c r="H5" i="1" s="1"/>
  <c r="K17" i="3"/>
  <c r="H17" i="1" s="1"/>
  <c r="M16" i="3"/>
  <c r="P16" i="1" s="1"/>
  <c r="J5" i="4"/>
  <c r="I5" i="1" s="1"/>
  <c r="U9" i="4"/>
  <c r="R9" i="1" s="1"/>
  <c r="L9" i="4"/>
  <c r="J9" i="1" s="1"/>
  <c r="U21" i="4"/>
  <c r="R21" i="1" s="1"/>
  <c r="L21" i="4"/>
  <c r="J21" i="1" s="1"/>
  <c r="I16" i="5"/>
  <c r="E14" i="3"/>
  <c r="F14" i="1" s="1"/>
  <c r="B29" i="3"/>
  <c r="E29" i="1" s="1"/>
  <c r="B21" i="3"/>
  <c r="E21" i="1" s="1"/>
  <c r="D20" i="3"/>
  <c r="M20" i="1" s="1"/>
  <c r="B9" i="3"/>
  <c r="E9" i="1" s="1"/>
  <c r="H25" i="3"/>
  <c r="G25" i="1" s="1"/>
  <c r="K18" i="3"/>
  <c r="H18" i="1" s="1"/>
  <c r="M17" i="3"/>
  <c r="P17" i="1" s="1"/>
  <c r="C22" i="4"/>
  <c r="J6" i="4"/>
  <c r="I6" i="1" s="1"/>
  <c r="J18" i="4"/>
  <c r="I18" i="1" s="1"/>
  <c r="J30" i="4"/>
  <c r="I30" i="1" s="1"/>
  <c r="U10" i="4"/>
  <c r="R10" i="1" s="1"/>
  <c r="L10" i="4"/>
  <c r="J10" i="1" s="1"/>
  <c r="I8" i="5"/>
  <c r="I20" i="5"/>
  <c r="I32" i="5"/>
  <c r="B14" i="3"/>
  <c r="E14" i="1" s="1"/>
  <c r="E18" i="5"/>
  <c r="E31" i="5"/>
  <c r="E20" i="5"/>
  <c r="E32" i="5"/>
  <c r="C36" i="4"/>
  <c r="L11" i="4"/>
  <c r="J11" i="1" s="1"/>
  <c r="L25" i="4"/>
  <c r="J25" i="1" s="1"/>
  <c r="U11" i="4"/>
  <c r="R11" i="1" s="1"/>
  <c r="E13" i="5"/>
  <c r="U23" i="4"/>
  <c r="R23" i="1" s="1"/>
  <c r="E4" i="5"/>
  <c r="E7" i="5"/>
  <c r="E33" i="5"/>
  <c r="E15" i="5"/>
  <c r="E28" i="5"/>
  <c r="E24" i="5"/>
  <c r="E9" i="5"/>
  <c r="E23" i="5"/>
  <c r="E11" i="5"/>
  <c r="E22" i="5"/>
  <c r="E29" i="5"/>
  <c r="E19" i="5"/>
  <c r="E16" i="5"/>
  <c r="E27" i="5"/>
  <c r="E5" i="5"/>
  <c r="E25" i="5"/>
  <c r="E17" i="5"/>
  <c r="E30" i="5"/>
  <c r="E21" i="5"/>
  <c r="E10" i="5"/>
  <c r="E6" i="5"/>
  <c r="E26" i="5"/>
  <c r="E8" i="5"/>
  <c r="E12" i="4" l="1"/>
  <c r="G12" i="4" s="1"/>
  <c r="B12" i="1" s="1"/>
  <c r="E22" i="4"/>
  <c r="G22" i="4" s="1"/>
  <c r="B22" i="1" s="1"/>
  <c r="E10" i="4"/>
  <c r="G10" i="4" s="1"/>
  <c r="B10" i="1" s="1"/>
  <c r="E31" i="4"/>
  <c r="G31" i="4" s="1"/>
  <c r="B31" i="1" s="1"/>
  <c r="E24" i="4"/>
  <c r="G24" i="4" s="1"/>
  <c r="B24" i="1" s="1"/>
  <c r="E19" i="4"/>
  <c r="G19" i="4" s="1"/>
  <c r="B19" i="1" s="1"/>
  <c r="E29" i="4"/>
  <c r="G29" i="4" s="1"/>
  <c r="B29" i="1" s="1"/>
  <c r="E4" i="4"/>
  <c r="G4" i="4" s="1"/>
  <c r="B4" i="1" s="1"/>
  <c r="G25" i="4"/>
  <c r="B25" i="1" s="1"/>
  <c r="G15" i="4"/>
  <c r="B15" i="1" s="1"/>
  <c r="G6" i="4"/>
  <c r="B6" i="1" s="1"/>
  <c r="G14" i="4"/>
  <c r="B14" i="1" s="1"/>
  <c r="G18" i="4"/>
  <c r="B18" i="1" s="1"/>
  <c r="G17" i="4"/>
  <c r="B17" i="1" s="1"/>
  <c r="G23" i="4"/>
  <c r="B23" i="1" s="1"/>
  <c r="G13" i="4"/>
  <c r="B13" i="1" s="1"/>
  <c r="G32" i="4"/>
  <c r="B32" i="1" s="1"/>
  <c r="G33" i="4"/>
  <c r="B33" i="1" s="1"/>
  <c r="G8" i="4"/>
  <c r="B8" i="1" s="1"/>
  <c r="G26" i="4"/>
  <c r="B26" i="1" s="1"/>
  <c r="G7" i="4"/>
  <c r="B7" i="1" s="1"/>
  <c r="G30" i="4"/>
  <c r="B30" i="1" s="1"/>
  <c r="G21" i="4"/>
  <c r="B21" i="1" s="1"/>
  <c r="G16" i="4"/>
  <c r="B16" i="1" s="1"/>
  <c r="G27" i="4"/>
  <c r="B27" i="1" s="1"/>
  <c r="G28" i="4"/>
  <c r="B28" i="1" s="1"/>
  <c r="G20" i="4"/>
  <c r="B20" i="1" s="1"/>
  <c r="G11" i="4"/>
  <c r="B11" i="1" s="1"/>
  <c r="I3" i="4"/>
  <c r="AD3" i="1" s="1"/>
  <c r="G3" i="4"/>
  <c r="B3" i="1" s="1"/>
  <c r="G5" i="4"/>
  <c r="B5" i="1" s="1"/>
  <c r="C18" i="1"/>
  <c r="C19" i="1"/>
  <c r="C8" i="1"/>
  <c r="C10" i="1"/>
  <c r="C28" i="1"/>
  <c r="C9" i="1"/>
  <c r="C31" i="1"/>
  <c r="C35" i="1"/>
  <c r="C32" i="1"/>
  <c r="C12" i="1"/>
  <c r="C20" i="1"/>
  <c r="C33" i="1"/>
  <c r="C25" i="1"/>
  <c r="C27" i="1"/>
  <c r="C26" i="1"/>
  <c r="C13" i="1"/>
  <c r="C15" i="1"/>
  <c r="C14" i="1"/>
  <c r="C34" i="1"/>
  <c r="J10" i="5"/>
  <c r="J33" i="5"/>
  <c r="J14" i="5"/>
  <c r="J32" i="5"/>
  <c r="J20" i="5"/>
  <c r="B9" i="1"/>
  <c r="J25" i="5"/>
  <c r="J24" i="5"/>
  <c r="J13" i="5"/>
  <c r="J22" i="5"/>
  <c r="J21" i="5"/>
  <c r="J5" i="5"/>
  <c r="J31" i="5"/>
  <c r="J19" i="5"/>
  <c r="J26" i="5"/>
  <c r="J12" i="5"/>
  <c r="J11" i="5"/>
  <c r="J4" i="5"/>
  <c r="J23" i="5"/>
  <c r="J17" i="5"/>
  <c r="J9" i="5"/>
  <c r="J18" i="5"/>
  <c r="J6" i="5"/>
  <c r="J8" i="5"/>
  <c r="J16" i="5"/>
  <c r="J15" i="5"/>
  <c r="J29" i="5"/>
  <c r="J30" i="5"/>
  <c r="J27" i="5"/>
  <c r="J28" i="5"/>
  <c r="J7" i="5"/>
  <c r="C37" i="1" l="1"/>
  <c r="B37" i="1"/>
  <c r="E37" i="1" s="1"/>
  <c r="C37" i="4"/>
</calcChain>
</file>

<file path=xl/sharedStrings.xml><?xml version="1.0" encoding="utf-8"?>
<sst xmlns="http://schemas.openxmlformats.org/spreadsheetml/2006/main" count="140" uniqueCount="92">
  <si>
    <t>Date</t>
  </si>
  <si>
    <t>Nepa Consumption (K.W.H)</t>
  </si>
  <si>
    <t>Milling DG Run Hours</t>
  </si>
  <si>
    <t>Parboiling DG Run Hours</t>
  </si>
  <si>
    <t>Comp E75 -2
Run Hours</t>
  </si>
  <si>
    <t>Comp E75 -1
Run Hours</t>
  </si>
  <si>
    <t>Comp E55 Run Hours</t>
  </si>
  <si>
    <t>Comp E75 -1
Rem Hours To Service</t>
  </si>
  <si>
    <t>Comp E75 -2
Rem Hours To Service</t>
  </si>
  <si>
    <t>Milling DG Rem Hours To Service</t>
  </si>
  <si>
    <t>Parboiling DG Rem Hours 
To Service</t>
  </si>
  <si>
    <t>Comp E55 Rem Hours To Service</t>
  </si>
  <si>
    <t>Comp E75 -1
Run Hr</t>
  </si>
  <si>
    <t>Comp E75 -2
Run Hr</t>
  </si>
  <si>
    <t>Comp E55 Run Hr</t>
  </si>
  <si>
    <t>Comp E75 -1
Next Ser
Hours</t>
  </si>
  <si>
    <t>Comp E75 -2
Next Ser
Hours</t>
  </si>
  <si>
    <t>Comp E55
Next Ser
Hours</t>
  </si>
  <si>
    <t xml:space="preserve">TIME </t>
  </si>
  <si>
    <t>Dip Stick Reading O/P Stock</t>
  </si>
  <si>
    <t>Dip Stick Reading C/L Stock</t>
  </si>
  <si>
    <t>DG Milling Run Hours</t>
  </si>
  <si>
    <t>DG Parboiling 
Run Hours</t>
  </si>
  <si>
    <t>Dip / 
mm</t>
  </si>
  <si>
    <t>Volume / 
Litters</t>
  </si>
  <si>
    <t>Summary</t>
  </si>
  <si>
    <t>Total received</t>
  </si>
  <si>
    <t>Total Cons</t>
  </si>
  <si>
    <t>NEPA FINAL</t>
  </si>
  <si>
    <t>NEPA Consumption (KWH)</t>
  </si>
  <si>
    <t>7:00AM</t>
  </si>
  <si>
    <t xml:space="preserve">                                            Date
   Equipments</t>
  </si>
  <si>
    <t>Diesel Dip reading (mm)</t>
  </si>
  <si>
    <t>Nepa meter reading (KWH)</t>
  </si>
  <si>
    <t>1-Comp E75 reading (Hours)</t>
  </si>
  <si>
    <t>2-Comp E75 reading (Hours)</t>
  </si>
  <si>
    <t>Milling DG reading (Hours)</t>
  </si>
  <si>
    <t>Parboiling DG reading (Hours)</t>
  </si>
  <si>
    <t>DG Parboiling 
Run Hr Meter</t>
  </si>
  <si>
    <t>DG Milling Run Hr Meter</t>
  </si>
  <si>
    <t>Comp E75 -3
Run Hours</t>
  </si>
  <si>
    <t>Comp E75 -3
Run Hr</t>
  </si>
  <si>
    <t>Comp E75 -3
Rem Hours To Service</t>
  </si>
  <si>
    <t>3-Comp E75 reading (Hours)</t>
  </si>
  <si>
    <t>4-Comp E55 reading (Hours)</t>
  </si>
  <si>
    <t>Comp E75 -3
Next Ser
Hours</t>
  </si>
  <si>
    <t>Diesel RECEIVED</t>
  </si>
  <si>
    <t>Received (Liters)</t>
  </si>
  <si>
    <t>Diesel Consumption
(LTRS)</t>
  </si>
  <si>
    <t>MILLING</t>
  </si>
  <si>
    <t>UTILITY / PARBOILING</t>
  </si>
  <si>
    <t>MILLING + UTILITY / PARBOILING</t>
  </si>
  <si>
    <t>DIFFERENCE</t>
  </si>
  <si>
    <t>MILLING 
CONSUMPTION</t>
  </si>
  <si>
    <t>UTILITY / PARBOILING
CONSUMPTION</t>
  </si>
  <si>
    <t>MILLING (KWH)</t>
  </si>
  <si>
    <t>UTILITY / PARBOILING (KWH)</t>
  </si>
  <si>
    <t>DIESEL ISSUE</t>
  </si>
  <si>
    <t>Diesel ISSUED</t>
  </si>
  <si>
    <t>Milling DG Next Ser
Hours</t>
  </si>
  <si>
    <t>Parboiling DG Next Ser
Hours</t>
  </si>
  <si>
    <t>Main Tank
Opening Stock (Liters)</t>
  </si>
  <si>
    <t>Main Tank
Consumption (Liters)</t>
  </si>
  <si>
    <t>Main Tank
Closing Stock (Liters)</t>
  </si>
  <si>
    <t>Remarks</t>
  </si>
  <si>
    <t>Current Total stock
(Liters)</t>
  </si>
  <si>
    <t>Service tank 
(Liters)</t>
  </si>
  <si>
    <t>Service Tanks</t>
  </si>
  <si>
    <t xml:space="preserve">NOTE: 
Receive desiel                                          
Befor Receive dip Reading                     
Calculation wise                                           
After Receive dip Reading                   
differance getting extra                                      </t>
  </si>
  <si>
    <t>NOTE: 06.08.2026 
Receive desiel                                  22 X 230 = 5060 ltrs
Befor Receive dip Reading             2098      = 37973 ltrs
Calculation wise                                              = 43033 ltrs    
After Receive dip Reading              2412      =  43035ltrs 
differance getting extra                                 =     2 ltrs</t>
  </si>
  <si>
    <t xml:space="preserve">DG Milling NEXT SERVICE </t>
  </si>
  <si>
    <t>DG Milling REM SERVICE Hr</t>
  </si>
  <si>
    <t>DG Parboil NEXT SERVICE</t>
  </si>
  <si>
    <t>DG Parboil REM SERVICE Hr</t>
  </si>
  <si>
    <t>Utility DG reading (Hours)</t>
  </si>
  <si>
    <t>Admin DG reading (Hours)</t>
  </si>
  <si>
    <t>DG Utility Run Hours</t>
  </si>
  <si>
    <t>DG Utility Run Hr Meter</t>
  </si>
  <si>
    <t>DG Utility NEXT SERVICE</t>
  </si>
  <si>
    <t>DG Utility REM SERVICE Hr</t>
  </si>
  <si>
    <t>Utility DG Run Hours</t>
  </si>
  <si>
    <t>DG Admin Run Hours</t>
  </si>
  <si>
    <t>DG Admin Run Hr Meter</t>
  </si>
  <si>
    <t>DG Admin NEXT SERVICE</t>
  </si>
  <si>
    <t>DG Admin REM SERVICE Hr</t>
  </si>
  <si>
    <t>Admin DG Run Hours</t>
  </si>
  <si>
    <t>Utility DG Rem Hours To Service</t>
  </si>
  <si>
    <t>Admin DG Rem Hours 
To Service</t>
  </si>
  <si>
    <t>Utility DG Next Ser
Hours</t>
  </si>
  <si>
    <t>Admin DG Next Ser
Hours</t>
  </si>
  <si>
    <t>NEPA Availablity</t>
  </si>
  <si>
    <t>NEPA AVABILITY 
( HH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</si>
</sst>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ck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" fontId="0" fillId="0" borderId="0" xfId="0" applyNumberFormat="1"/>
    <xf numFmtId="0" fontId="1" fillId="2" borderId="8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18" fontId="0" fillId="0" borderId="5" xfId="0" applyNumberFormat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  <xf numFmtId="1" fontId="0" fillId="0" borderId="7" xfId="0" applyNumberFormat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2" fillId="0" borderId="10" xfId="0" applyFont="1" applyBorder="1" applyAlignment="1">
      <alignment vertical="center" wrapText="1"/>
    </xf>
    <xf numFmtId="14" fontId="2" fillId="0" borderId="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 wrapText="1"/>
    </xf>
    <xf numFmtId="1" fontId="2" fillId="0" borderId="5" xfId="0" applyNumberFormat="1" applyFont="1" applyBorder="1"/>
    <xf numFmtId="164" fontId="0" fillId="0" borderId="7" xfId="0" applyNumberFormat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18" fontId="0" fillId="5" borderId="5" xfId="0" applyNumberForma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0" fontId="0" fillId="5" borderId="0" xfId="0" applyFill="1"/>
    <xf numFmtId="164" fontId="0" fillId="4" borderId="5" xfId="0" applyNumberFormat="1" applyFill="1" applyBorder="1" applyAlignment="1">
      <alignment horizontal="center" vertical="center"/>
    </xf>
    <xf numFmtId="164" fontId="0" fillId="5" borderId="0" xfId="0" applyNumberFormat="1" applyFill="1"/>
    <xf numFmtId="164" fontId="0" fillId="5" borderId="14" xfId="0" applyNumberFormat="1" applyFill="1" applyBorder="1" applyAlignment="1">
      <alignment horizontal="center" vertical="center"/>
    </xf>
    <xf numFmtId="18" fontId="0" fillId="5" borderId="7" xfId="0" applyNumberForma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5" xfId="0" applyFont="1" applyBorder="1"/>
    <xf numFmtId="1" fontId="2" fillId="0" borderId="0" xfId="0" applyNumberFormat="1" applyFont="1"/>
    <xf numFmtId="164" fontId="0" fillId="4" borderId="7" xfId="0" applyNumberForma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100"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</dxf>
    <dxf>
      <numFmt numFmtId="164" formatCode="0.0"/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ropbox\ZYN_ELECTRICAL\Reportings\MIS\Jul_2026.xlsx" TargetMode="External"/><Relationship Id="rId1" Type="http://schemas.openxmlformats.org/officeDocument/2006/relationships/externalLinkPath" Target="Jul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House Data"/>
      <sheetName val="Summary"/>
      <sheetName val="Compressor"/>
      <sheetName val="Diesel"/>
      <sheetName val="EB"/>
      <sheetName val="Jul_202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BBFA2-2F77-42BF-9473-EA00078A9849}" name="Table11" displayName="Table11" ref="A1:AD35" totalsRowShown="0" headerRowDxfId="99" headerRowBorderDxfId="98" tableBorderDxfId="97" totalsRowBorderDxfId="96">
  <tableColumns count="30">
    <tableColumn id="1" xr3:uid="{3B419577-373D-4E9B-865D-26BC24BCC615}" name="Date" dataDxfId="95"/>
    <tableColumn id="2" xr3:uid="{5575268A-18B4-4AE2-9F00-36D1511A2E6D}" name="Diesel Consumption_x000a_(LTRS)" dataDxfId="94">
      <calculatedColumnFormula>Table113456[[#This Row],[Main Tank
Consumption (Liters)]]</calculatedColumnFormula>
    </tableColumn>
    <tableColumn id="3" xr3:uid="{00AAC73E-FEE9-4099-90CC-AD25CF44EDE3}" name="Nepa Consumption (K.W.H)" dataDxfId="93">
      <calculatedColumnFormula>Table1135[[#This Row],[NEPA Consumption (KWH)]]</calculatedColumnFormula>
    </tableColumn>
    <tableColumn id="30" xr3:uid="{ED4897C6-6E70-41FD-A03C-A49F7CB96F63}" name="NEPA AVABILITY _x000a_( HH )" dataDxfId="92"/>
    <tableColumn id="10" xr3:uid="{313A4B8D-183C-4F83-A86D-3CD48ADC1845}" name="Comp E75 -1_x000a_Run Hours" dataDxfId="91">
      <calculatedColumnFormula>Table113[[#This Row],[Comp E75 -1
Run Hours]]</calculatedColumnFormula>
    </tableColumn>
    <tableColumn id="6" xr3:uid="{FC904253-6127-4B62-B935-651E02B1293A}" name="Comp E75 -2_x000a_Run Hours" dataDxfId="90">
      <calculatedColumnFormula>Table113[[#This Row],[Comp E75 -2
Run Hours]]</calculatedColumnFormula>
    </tableColumn>
    <tableColumn id="15" xr3:uid="{12B9FD6D-172D-4CDB-BDB3-0A9E3BA16446}" name="Comp E75 -3_x000a_Run Hours" dataDxfId="89">
      <calculatedColumnFormula>Table113[[#This Row],[Comp E75 -3
Run Hours]]</calculatedColumnFormula>
    </tableColumn>
    <tableColumn id="12" xr3:uid="{A0F4AE96-9A17-42BA-9B5B-84D45CD84648}" name="Comp E55 Run Hours" dataDxfId="88">
      <calculatedColumnFormula>Table113[[#This Row],[Comp E55 Run Hours]]</calculatedColumnFormula>
    </tableColumn>
    <tableColumn id="4" xr3:uid="{F415F3B7-A57E-499C-8B46-6C9A7D82172D}" name="Milling DG Run Hours" dataDxfId="87">
      <calculatedColumnFormula>Table113456[[#This Row],[DG Milling Run Hours]]</calculatedColumnFormula>
    </tableColumn>
    <tableColumn id="5" xr3:uid="{68955937-3644-4050-9EDF-4E52B7CFD914}" name="Parboiling DG Run Hours" dataDxfId="86">
      <calculatedColumnFormula>Table113456[[#This Row],[DG Parboiling 
Run Hours]]</calculatedColumnFormula>
    </tableColumn>
    <tableColumn id="7" xr3:uid="{CFB8FF94-2E86-440F-9274-C4A95DA0668A}" name="Utility DG Run Hours" dataDxfId="85"/>
    <tableColumn id="25" xr3:uid="{77E4F221-565F-4099-9F7A-EAC03158497E}" name="Admin DG Run Hours" dataDxfId="84"/>
    <tableColumn id="8" xr3:uid="{FEFAA4DB-594C-4D2D-8E6A-A610F11B7147}" name="Comp E75 -1_x000a_Rem Hours To Service" dataDxfId="83">
      <calculatedColumnFormula>Table113[[#This Row],[Comp E75 -1
Rem Hours To Service]]</calculatedColumnFormula>
    </tableColumn>
    <tableColumn id="9" xr3:uid="{1DE25C05-46D9-4B65-AE70-78DA35A8217F}" name="Comp E75 -2_x000a_Rem Hours To Service" dataDxfId="82">
      <calculatedColumnFormula>Table113[[#This Row],[Comp E75 -2
Rem Hours To Service]]</calculatedColumnFormula>
    </tableColumn>
    <tableColumn id="16" xr3:uid="{6F0D179B-4703-4BDC-82A3-B14CA4E4A6FB}" name="Comp E75 -3_x000a_Rem Hours To Service" dataDxfId="81">
      <calculatedColumnFormula>Table113[[#This Row],[Comp E75 -3
Rem Hours To Service]]</calculatedColumnFormula>
    </tableColumn>
    <tableColumn id="11" xr3:uid="{A2FF9DFF-8060-4CE8-AE11-84B96A017254}" name="Comp E55 Rem Hours To Service" dataDxfId="80">
      <calculatedColumnFormula>Table113[[#This Row],[Comp E55 Rem Hours To Service]]</calculatedColumnFormula>
    </tableColumn>
    <tableColumn id="13" xr3:uid="{92FAA2A0-6341-4E28-9D71-5BC42657B909}" name="Milling DG Rem Hours To Service" dataDxfId="79">
      <calculatedColumnFormula>Table113456[[#This Row],[DG Milling REM SERVICE Hr]]</calculatedColumnFormula>
    </tableColumn>
    <tableColumn id="14" xr3:uid="{601CA706-7F81-44B1-92FE-7A67C20C29F5}" name="Parboiling DG Rem Hours _x000a_To Service" dataDxfId="78">
      <calculatedColumnFormula>Table113456[[#This Row],[DG Parboil REM SERVICE Hr]]</calculatedColumnFormula>
    </tableColumn>
    <tableColumn id="27" xr3:uid="{DD386898-CF96-4245-B004-34B2CE5C6C41}" name="Utility DG Rem Hours To Service" dataDxfId="77">
      <calculatedColumnFormula>Table113456[[#This Row],[DG Utility REM SERVICE Hr]]</calculatedColumnFormula>
    </tableColumn>
    <tableColumn id="26" xr3:uid="{B33BBB23-7BE3-4FE4-8693-4FD6C30772F0}" name="Admin DG Rem Hours _x000a_To Service" dataDxfId="76">
      <calculatedColumnFormula>Table113456[[#This Row],[DG Admin REM SERVICE Hr]]</calculatedColumnFormula>
    </tableColumn>
    <tableColumn id="17" xr3:uid="{C795D9A2-3740-4D19-99CC-913E25893048}" name="Comp E75 -1_x000a_Next Ser_x000a_Hours" dataDxfId="75"/>
    <tableColumn id="18" xr3:uid="{7D637B86-F3DF-402A-BFBC-62DD7FAAECF7}" name="Comp E75 -2_x000a_Next Ser_x000a_Hours" dataDxfId="74"/>
    <tableColumn id="19" xr3:uid="{AFDB01C6-3FAE-4629-A1A1-BF1727A8AAC7}" name="Comp E75 -3_x000a_Next Ser_x000a_Hours" dataDxfId="73"/>
    <tableColumn id="20" xr3:uid="{969E445D-2FA9-4CE7-B265-28BFB35FFB61}" name="Comp E55_x000a_Next Ser_x000a_Hours" dataDxfId="72"/>
    <tableColumn id="21" xr3:uid="{E46B5CCD-6E82-4735-8CBA-259D8786F6A8}" name="Milling DG Next Ser_x000a_Hours" dataDxfId="71"/>
    <tableColumn id="22" xr3:uid="{77D54554-0A12-4688-A80D-F0492377D094}" name="Parboiling DG Next Ser_x000a_Hours" dataDxfId="70"/>
    <tableColumn id="29" xr3:uid="{EF19013A-9AA9-4EE0-B970-E35425E447B4}" name="Utility DG Next Ser_x000a_Hours" dataDxfId="69"/>
    <tableColumn id="28" xr3:uid="{E70C42C3-6AFF-4766-888F-C3D7BB7D923C}" name="Admin DG Next Ser_x000a_Hours" dataDxfId="68"/>
    <tableColumn id="23" xr3:uid="{30C02E38-03F1-48AE-A19D-E69A460A65EA}" name="Service tank _x000a_(Liters)" dataDxfId="67"/>
    <tableColumn id="24" xr3:uid="{80654E89-7E9F-45CD-A480-AB969682212A}" name="Current Total stock_x000a_(Liters)" dataDxfId="66">
      <calculatedColumnFormula>Diesel!I3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0B8F6-1D49-4ED9-A151-8BA053CCE2F1}" name="Table113" displayName="Table113" ref="A1:Q36" totalsRowShown="0" headerRowDxfId="65" headerRowBorderDxfId="64" tableBorderDxfId="63" totalsRowBorderDxfId="62">
  <tableColumns count="17">
    <tableColumn id="1" xr3:uid="{BE1398C8-B50B-4A4B-BD0B-DED2C439368D}" name="Date" dataDxfId="61"/>
    <tableColumn id="10" xr3:uid="{7342E3C6-CA38-4E51-A5F6-1A10AF77FD68}" name="Comp E75 -1_x000a_Run Hours" dataDxfId="60"/>
    <tableColumn id="9" xr3:uid="{EB3C4631-153B-4218-AD54-0E8B1BB9E36B}" name="Comp E75 -1_x000a_Run Hr" dataDxfId="59"/>
    <tableColumn id="11" xr3:uid="{078094A9-A66F-4212-9300-4E6163E978CB}" name="Comp E75 -1_x000a_Rem Hours To Service" dataDxfId="58">
      <calculatedColumnFormula>$N$2-Table113[[#This Row],[Comp E75 -1
Run Hr]]</calculatedColumnFormula>
    </tableColumn>
    <tableColumn id="6" xr3:uid="{965F6003-75D7-451D-AA82-033E97BEEEAA}" name="Comp E75 -2_x000a_Run Hours" dataDxfId="57"/>
    <tableColumn id="27" xr3:uid="{BFAC37AC-5D2F-4AF1-AB99-9AA4513056A3}" name="Comp E75 -2_x000a_Run Hr" dataDxfId="56"/>
    <tableColumn id="8" xr3:uid="{EBBA555F-AE7F-4593-A8A5-3BB8D80222FE}" name="Comp E75 -2_x000a_Rem Hours To Service" dataDxfId="55">
      <calculatedColumnFormula>$O$2-Table113[[#This Row],[Comp E75 -2
Run Hr]]</calculatedColumnFormula>
    </tableColumn>
    <tableColumn id="5" xr3:uid="{4A2A7864-B360-4B32-BFAD-01EBBB4E5E6A}" name="Comp E75 -3_x000a_Run Hours" dataDxfId="54">
      <calculatedColumnFormula>Table113[[#This Row],[Comp E75 -2
Run Hr]]-I1</calculatedColumnFormula>
    </tableColumn>
    <tableColumn id="7" xr3:uid="{D2BE3A1C-7C27-463F-BDC5-050908355125}" name="Comp E75 -3_x000a_Run Hr" dataDxfId="53"/>
    <tableColumn id="14" xr3:uid="{61F682B3-B8E2-4235-BED7-270778EEB4AA}" name="Comp E75 -3_x000a_Rem Hours To Service" dataDxfId="52">
      <calculatedColumnFormula>$O$2-Table113[[#This Row],[Comp E75 -2
Run Hr]]</calculatedColumnFormula>
    </tableColumn>
    <tableColumn id="12" xr3:uid="{03E1E486-85BD-487F-8DFC-41F4991922AD}" name="Comp E55 Run Hours" dataDxfId="51"/>
    <tableColumn id="28" xr3:uid="{974A18C3-5054-4195-82AC-D651EE103F1A}" name="Comp E55 Run Hr" dataDxfId="50"/>
    <tableColumn id="13" xr3:uid="{1B3C9DA7-BFC3-4BB5-8904-7BD7D4B68A4A}" name="Comp E55 Rem Hours To Service" dataDxfId="49">
      <calculatedColumnFormula>$Q$2-Table113[[#This Row],[Comp E55 Run Hr]]</calculatedColumnFormula>
    </tableColumn>
    <tableColumn id="2" xr3:uid="{FC598EDF-41DC-4029-8E16-FB935382B71D}" name="Comp E75 -1_x000a_Next Ser_x000a_Hours" dataDxfId="48"/>
    <tableColumn id="3" xr3:uid="{A5DB482B-3616-4D17-B811-B419F975816F}" name="Comp E75 -2_x000a_Next Ser_x000a_Hours" dataDxfId="47"/>
    <tableColumn id="15" xr3:uid="{9F96BCF4-2887-4BF2-BA25-7225F4CE763F}" name="Comp E75 -3_x000a_Next Ser_x000a_Hours" dataDxfId="46"/>
    <tableColumn id="4" xr3:uid="{25BADD7F-FD04-4FBE-A24E-8CD365430733}" name="Comp E55_x000a_Next Ser_x000a_Hours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662DC1-E94E-4583-A821-BCD636E17FBE}" name="Table113456" displayName="Table113456" ref="A1:AA35" totalsRowShown="0" headerRowDxfId="44" dataDxfId="42" headerRowBorderDxfId="43" tableBorderDxfId="41" totalsRowBorderDxfId="40">
  <tableColumns count="27">
    <tableColumn id="1" xr3:uid="{FFA0CAE9-6D4C-42A7-9ED1-9D3CC33D3A39}" name="Date" dataDxfId="39"/>
    <tableColumn id="2" xr3:uid="{C302EA9C-DA8B-412B-AE71-A781D1B622CE}" name="TIME " dataDxfId="38"/>
    <tableColumn id="5" xr3:uid="{D9F96568-349C-4AA7-AB0F-260E523480C9}" name="Dip Stick Reading O/P Stock" dataDxfId="37"/>
    <tableColumn id="7" xr3:uid="{0AA56D76-3069-4C83-953E-B30DB045771F}" name="Dip Stick Reading C/L Stock" dataDxfId="36"/>
    <tableColumn id="10" xr3:uid="{64476532-3FE6-49F5-8E0B-0BD6CA0ED119}" name="Main Tank_x000a_Opening Stock (Liters)" dataDxfId="35"/>
    <tableColumn id="6" xr3:uid="{FCC68721-072F-4D5D-B8E1-3954B658D2B1}" name="Received (Liters)" dataDxfId="34"/>
    <tableColumn id="3" xr3:uid="{CBED3DF0-8226-469E-A4CA-F5EA5D6E132C}" name="Main Tank_x000a_Consumption (Liters)" dataDxfId="33">
      <calculatedColumnFormula>Table113456[[#This Row],[Main Tank
Opening Stock (Liters)]]-[1]!Table113456[[#This Row],[Main Tank
Closing Stock (Liters)]]+[1]!Table113456[[#This Row],[Received (Liters)]]</calculatedColumnFormula>
    </tableColumn>
    <tableColumn id="18" xr3:uid="{A50BFBC1-8227-4B48-AA1F-6F8E79CD1C0D}" name="Main Tank_x000a_Closing Stock (Liters)" dataDxfId="32">
      <calculatedColumnFormula>VLOOKUP(D2,$AB$2:$AC$682,2,FALSE)</calculatedColumnFormula>
    </tableColumn>
    <tableColumn id="17" xr3:uid="{CFD3173E-76B1-4E34-A30A-B3FA4ACC46A1}" name="Current Total stock_x000a_(Liters)" dataDxfId="31"/>
    <tableColumn id="8" xr3:uid="{7F04DC81-5069-4DDA-A637-A423C7C138BA}" name="DG Milling Run Hours" dataDxfId="30"/>
    <tableColumn id="11" xr3:uid="{580B9AB4-C99A-41C3-B937-29E2F1790229}" name="DG Milling Run Hr Meter" dataDxfId="29"/>
    <tableColumn id="9" xr3:uid="{F40CB500-25D6-460D-A899-6576FA1CCD91}" name="DG Parboiling _x000a_Run Hours" dataDxfId="28"/>
    <tableColumn id="12" xr3:uid="{F2A7E92E-9981-4CA6-A760-9EAA6B8F6A87}" name="DG Parboiling _x000a_Run Hr Meter" dataDxfId="27"/>
    <tableColumn id="21" xr3:uid="{49681D56-641E-487E-8633-DBF7A9B30017}" name="DG Utility Run Hours" dataDxfId="26">
      <calculatedColumnFormula>Table113456[[#This Row],[DG Utility Run Hr Meter]]-O1</calculatedColumnFormula>
    </tableColumn>
    <tableColumn id="19" xr3:uid="{0324DC09-CD71-4D8B-AC05-4200A7EC2858}" name="DG Utility Run Hr Meter" dataDxfId="25"/>
    <tableColumn id="25" xr3:uid="{4B01787F-4E7C-4C19-B97F-A2AAF4B1E2D5}" name="DG Admin Run Hours" dataDxfId="24">
      <calculatedColumnFormula>Table113456[[#This Row],[DG Admin Run Hr Meter]]-Q1</calculatedColumnFormula>
    </tableColumn>
    <tableColumn id="24" xr3:uid="{9C2D48A0-6F26-44FA-B0FD-F31058C8BDB9}" name="DG Admin Run Hr Meter" dataDxfId="23"/>
    <tableColumn id="13" xr3:uid="{AC74717D-E97A-482E-99D6-0AE3DDFA2E40}" name="DG Milling NEXT SERVICE " dataDxfId="22"/>
    <tableColumn id="15" xr3:uid="{9F4BCD2A-3122-4E1A-8CA3-13B704768810}" name="DG Milling REM SERVICE Hr" dataDxfId="21">
      <calculatedColumnFormula>[1]!Table113456[[#This Row],[DG Parboiling 
Run Hr Meter]]-T1</calculatedColumnFormula>
    </tableColumn>
    <tableColumn id="14" xr3:uid="{595B1AE7-315D-435B-935A-C56EDF62DE48}" name="DG Parboil NEXT SERVICE" dataDxfId="20"/>
    <tableColumn id="16" xr3:uid="{8A238E10-DD1C-4167-B551-7ACD0DC7459A}" name="DG Parboil REM SERVICE Hr" dataDxfId="19">
      <calculatedColumnFormula>Table113456[[#This Row],[DG Parboil NEXT SERVICE]]-Table113456[[#This Row],[DG Parboiling 
Run Hr Meter]]</calculatedColumnFormula>
    </tableColumn>
    <tableColumn id="23" xr3:uid="{0B9C584D-F172-40CA-AB2C-FAB7C9463934}" name="DG Utility NEXT SERVICE"/>
    <tableColumn id="22" xr3:uid="{8280D2BB-AF48-4243-B1C4-271C1668FA29}" name="DG Utility REM SERVICE Hr" dataDxfId="18">
      <calculatedColumnFormula>Table113456[[#This Row],[DG Utility NEXT SERVICE]]-Table113456[[#This Row],[DG Utility Run Hr Meter]]</calculatedColumnFormula>
    </tableColumn>
    <tableColumn id="27" xr3:uid="{A434A5FE-DA2D-4223-BAEE-5498B225D7DC}" name="DG Admin NEXT SERVICE"/>
    <tableColumn id="26" xr3:uid="{2FE25BBE-DAA6-4F29-8556-1A2C69C5262B}" name="DG Admin REM SERVICE Hr" dataDxfId="17">
      <calculatedColumnFormula>Table113456[[#This Row],[DG Admin NEXT SERVICE]]-Table113456[[#This Row],[DG Admin Run Hr Meter]]</calculatedColumnFormula>
    </tableColumn>
    <tableColumn id="20" xr3:uid="{8A380DB3-7B1B-42CB-8EF7-F35053C7DF86}" name="DIESEL ISSUE" dataDxfId="16"/>
    <tableColumn id="4" xr3:uid="{073BFBB9-9AE5-4B39-911E-7162C6D075B4}" name="Remarks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29B24A-DD26-4A0E-80D4-14B28C147065}" name="Table1135" displayName="Table1135" ref="A1:K35" totalsRowShown="0" headerRowDxfId="14" headerRowBorderDxfId="13" tableBorderDxfId="12" totalsRowBorderDxfId="11">
  <tableColumns count="11">
    <tableColumn id="1" xr3:uid="{3C4EDD6F-2817-4DDB-989F-848A9ADE99C6}" name="Date" dataDxfId="10"/>
    <tableColumn id="2" xr3:uid="{9AD1B54B-AA7D-4154-B15C-894ACD69D0FC}" name="TIME " dataDxfId="9"/>
    <tableColumn id="6" xr3:uid="{F8AADA79-9F82-4F2B-A86C-3763EBDDB195}" name="NEPA FINAL" dataDxfId="8"/>
    <tableColumn id="3" xr3:uid="{6B872856-AEB9-441B-A1F9-58FC30D5A96B}" name="NEPA Consumption (KWH)" dataDxfId="7">
      <calculatedColumnFormula>Table1135[[#This Row],[NEPA FINAL]]-#REF!</calculatedColumnFormula>
    </tableColumn>
    <tableColumn id="4" xr3:uid="{EB605483-C0C1-4693-966B-3F0092318F52}" name="MILLING + UTILITY / PARBOILING" dataDxfId="6">
      <calculatedColumnFormula>(Table1135[[#This Row],[MILLING]]-F1)+(Table1135[[#This Row],[UTILITY / PARBOILING]]-G1)</calculatedColumnFormula>
    </tableColumn>
    <tableColumn id="5" xr3:uid="{C0596434-445F-454C-81AF-2CE6D5BD2465}" name="MILLING" dataDxfId="5"/>
    <tableColumn id="7" xr3:uid="{59E30BC1-4313-4D95-8920-C70F26A8D0E5}" name="UTILITY / PARBOILING" dataDxfId="4"/>
    <tableColumn id="9" xr3:uid="{54BB58FB-66F6-4D05-8AB5-D4B165F62041}" name="MILLING _x000a_CONSUMPTION" dataDxfId="3">
      <calculatedColumnFormula>Table1135[[#This Row],[MILLING]]-F1</calculatedColumnFormula>
    </tableColumn>
    <tableColumn id="11" xr3:uid="{782482CD-78EB-42C5-9D73-DCF5C9569291}" name="UTILITY / PARBOILING_x000a_CONSUMPTION" dataDxfId="2">
      <calculatedColumnFormula>Table1135[[#This Row],[UTILITY / PARBOILING]]-G1</calculatedColumnFormula>
    </tableColumn>
    <tableColumn id="8" xr3:uid="{FD455A14-7C4B-4064-8C0D-F731C7080DB1}" name="DIFFERENCE" dataDxfId="1">
      <calculatedColumnFormula>Table1135[[#This Row],[MILLING + UTILITY / PARBOILING]]-Table1135[[#This Row],[NEPA Consumption (KWH)]]</calculatedColumnFormula>
    </tableColumn>
    <tableColumn id="10" xr3:uid="{9DB4B79B-88A1-4CA4-8D81-979BB15BB799}" name="NEPA Availablity" dataDxfId="0">
      <calculatedColumnFormula>'PowerHouse Data'!E14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DE1074-1513-4995-8243-DF704F8B04FD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76418ac4-8eee-4122-b000-1a18923057f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6DF1-27F6-47D2-A25D-1758ED53D680}">
  <sheetPr codeName="Sheet2">
    <pageSetUpPr fitToPage="1"/>
  </sheetPr>
  <dimension ref="B1:AI17"/>
  <sheetViews>
    <sheetView tabSelected="1" zoomScale="95" zoomScaleNormal="130" workbookViewId="0">
      <pane xSplit="2" topLeftCell="M1" activePane="topRight" state="frozenSplit"/>
      <selection pane="topRight" activeCell="S21" sqref="S21"/>
    </sheetView>
  </sheetViews>
  <sheetFormatPr defaultRowHeight="14.5" x14ac:dyDescent="0.35"/>
  <cols>
    <col min="2" max="2" width="29.1796875" customWidth="1"/>
    <col min="3" max="3" width="10.453125" hidden="1" customWidth="1"/>
    <col min="4" max="4" width="10.453125" bestFit="1" customWidth="1"/>
    <col min="5" max="33" width="10.54296875" customWidth="1"/>
    <col min="34" max="35" width="10.453125" bestFit="1" customWidth="1"/>
  </cols>
  <sheetData>
    <row r="1" spans="2:35" ht="29.5" thickBot="1" x14ac:dyDescent="0.4">
      <c r="B1" s="22" t="s">
        <v>31</v>
      </c>
      <c r="C1" s="23">
        <v>46265</v>
      </c>
      <c r="D1" s="23">
        <v>46266</v>
      </c>
      <c r="E1" s="23">
        <v>46267</v>
      </c>
      <c r="F1" s="23">
        <v>46268</v>
      </c>
      <c r="G1" s="23">
        <v>46269</v>
      </c>
      <c r="H1" s="23">
        <v>46270</v>
      </c>
      <c r="I1" s="23">
        <v>46271</v>
      </c>
      <c r="J1" s="23">
        <v>46272</v>
      </c>
      <c r="K1" s="23">
        <v>46273</v>
      </c>
      <c r="L1" s="23">
        <v>46274</v>
      </c>
      <c r="M1" s="23">
        <v>46275</v>
      </c>
      <c r="N1" s="23">
        <v>46276</v>
      </c>
      <c r="O1" s="23">
        <v>46277</v>
      </c>
      <c r="P1" s="23">
        <v>46278</v>
      </c>
      <c r="Q1" s="23">
        <v>46279</v>
      </c>
      <c r="R1" s="23">
        <v>46280</v>
      </c>
      <c r="S1" s="23">
        <v>46281</v>
      </c>
      <c r="T1" s="23">
        <v>46282</v>
      </c>
      <c r="U1" s="23">
        <v>46283</v>
      </c>
      <c r="V1" s="23">
        <v>46284</v>
      </c>
      <c r="W1" s="23">
        <v>46285</v>
      </c>
      <c r="X1" s="23">
        <v>46286</v>
      </c>
      <c r="Y1" s="23">
        <v>46287</v>
      </c>
      <c r="Z1" s="23">
        <v>46288</v>
      </c>
      <c r="AA1" s="23">
        <v>46289</v>
      </c>
      <c r="AB1" s="23">
        <v>46290</v>
      </c>
      <c r="AC1" s="23">
        <v>46291</v>
      </c>
      <c r="AD1" s="23">
        <v>46292</v>
      </c>
      <c r="AE1" s="23">
        <v>46293</v>
      </c>
      <c r="AF1" s="23">
        <v>46294</v>
      </c>
      <c r="AG1" s="23">
        <v>46295</v>
      </c>
      <c r="AH1" s="23">
        <v>46296</v>
      </c>
      <c r="AI1" s="23"/>
    </row>
    <row r="2" spans="2:35" x14ac:dyDescent="0.35">
      <c r="B2" s="2" t="s">
        <v>32</v>
      </c>
      <c r="C2" s="21">
        <v>2244</v>
      </c>
      <c r="D2" s="20">
        <v>2242</v>
      </c>
      <c r="E2" s="20">
        <v>2242</v>
      </c>
      <c r="F2" s="21">
        <v>2236</v>
      </c>
      <c r="G2" s="21">
        <v>2236</v>
      </c>
      <c r="H2" s="21">
        <v>2236</v>
      </c>
      <c r="I2" s="21">
        <v>2220</v>
      </c>
      <c r="J2" s="21">
        <v>2220</v>
      </c>
      <c r="K2" s="21">
        <v>2178</v>
      </c>
      <c r="L2" s="21">
        <v>2160</v>
      </c>
      <c r="M2" s="21">
        <v>2156</v>
      </c>
      <c r="N2" s="21">
        <v>2146</v>
      </c>
      <c r="O2" s="21">
        <v>2146</v>
      </c>
      <c r="P2" s="21">
        <v>2146</v>
      </c>
      <c r="Q2" s="21">
        <v>2146</v>
      </c>
      <c r="R2" s="21">
        <v>2146</v>
      </c>
      <c r="S2" s="21">
        <v>2126</v>
      </c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0"/>
    </row>
    <row r="3" spans="2:35" x14ac:dyDescent="0.35">
      <c r="B3" s="7" t="s">
        <v>46</v>
      </c>
      <c r="C3" s="20">
        <v>0</v>
      </c>
      <c r="D3" s="20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spans="2:35" x14ac:dyDescent="0.35">
      <c r="B4" s="7" t="s">
        <v>58</v>
      </c>
      <c r="C4" s="20">
        <v>0</v>
      </c>
      <c r="D4" s="20">
        <v>33</v>
      </c>
      <c r="E4" s="20">
        <v>0</v>
      </c>
      <c r="F4" s="20">
        <v>38</v>
      </c>
      <c r="G4" s="20">
        <v>0</v>
      </c>
      <c r="H4" s="20">
        <v>56</v>
      </c>
      <c r="I4" s="20">
        <v>10</v>
      </c>
      <c r="J4" s="20">
        <v>0</v>
      </c>
      <c r="K4" s="20">
        <v>712</v>
      </c>
      <c r="L4" s="20">
        <v>10</v>
      </c>
      <c r="M4" s="20">
        <v>28</v>
      </c>
      <c r="N4" s="20">
        <v>38</v>
      </c>
      <c r="O4" s="20">
        <v>0</v>
      </c>
      <c r="P4" s="20">
        <v>66</v>
      </c>
      <c r="Q4" s="20">
        <v>0</v>
      </c>
      <c r="R4" s="20">
        <v>10</v>
      </c>
      <c r="S4" s="20">
        <v>277</v>
      </c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spans="2:35" x14ac:dyDescent="0.35">
      <c r="B5" s="7" t="s">
        <v>67</v>
      </c>
      <c r="C5" s="20">
        <v>5184</v>
      </c>
      <c r="D5" s="20">
        <v>5184</v>
      </c>
      <c r="E5" s="21">
        <v>5184</v>
      </c>
      <c r="F5" s="21">
        <v>5184</v>
      </c>
      <c r="G5" s="21">
        <v>5184</v>
      </c>
      <c r="H5" s="21">
        <f>G5-H4</f>
        <v>5128</v>
      </c>
      <c r="I5" s="21">
        <v>5184</v>
      </c>
      <c r="J5" s="20">
        <v>5184</v>
      </c>
      <c r="K5" s="20">
        <v>5184</v>
      </c>
      <c r="L5" s="20">
        <v>5184</v>
      </c>
      <c r="M5" s="20">
        <v>5184</v>
      </c>
      <c r="N5" s="20">
        <v>5184</v>
      </c>
      <c r="O5" s="20">
        <v>5184</v>
      </c>
      <c r="P5" s="20">
        <f>O5-P4</f>
        <v>5118</v>
      </c>
      <c r="Q5" s="20">
        <v>5118</v>
      </c>
      <c r="R5" s="20">
        <v>5108</v>
      </c>
      <c r="S5" s="20">
        <v>5184</v>
      </c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2:35" x14ac:dyDescent="0.35">
      <c r="B6" s="7" t="s">
        <v>33</v>
      </c>
      <c r="C6" s="20">
        <v>24323210</v>
      </c>
      <c r="D6" s="20">
        <v>24324380</v>
      </c>
      <c r="E6" s="21">
        <v>24325660</v>
      </c>
      <c r="F6" s="21">
        <v>24326800</v>
      </c>
      <c r="G6" s="21">
        <v>24328160</v>
      </c>
      <c r="H6" s="21">
        <v>24329420</v>
      </c>
      <c r="I6" s="21">
        <v>24330310</v>
      </c>
      <c r="J6" s="20">
        <v>24331300</v>
      </c>
      <c r="K6" s="20">
        <v>24332540</v>
      </c>
      <c r="L6" s="20">
        <v>24333580</v>
      </c>
      <c r="M6" s="20">
        <v>24334800</v>
      </c>
      <c r="N6" s="20">
        <v>24335820</v>
      </c>
      <c r="O6" s="20">
        <v>24336970</v>
      </c>
      <c r="P6" s="20">
        <v>24338040</v>
      </c>
      <c r="Q6" s="20">
        <v>24339030</v>
      </c>
      <c r="R6" s="20">
        <v>24340100</v>
      </c>
      <c r="S6" s="20">
        <v>24340840</v>
      </c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</row>
    <row r="7" spans="2:35" x14ac:dyDescent="0.35">
      <c r="B7" s="7" t="s">
        <v>55</v>
      </c>
      <c r="C7" s="20">
        <v>3492166</v>
      </c>
      <c r="D7" s="20">
        <v>3492168</v>
      </c>
      <c r="E7" s="21">
        <v>3492168</v>
      </c>
      <c r="F7" s="21">
        <v>3492168</v>
      </c>
      <c r="G7" s="21">
        <v>3492168</v>
      </c>
      <c r="H7" s="21">
        <v>3492168</v>
      </c>
      <c r="I7" s="21">
        <v>3492168</v>
      </c>
      <c r="J7" s="20">
        <v>3492168</v>
      </c>
      <c r="K7" s="20">
        <v>3492168</v>
      </c>
      <c r="L7" s="20">
        <v>3492168</v>
      </c>
      <c r="M7" s="20">
        <v>3492168</v>
      </c>
      <c r="N7" s="20">
        <v>3492168</v>
      </c>
      <c r="O7" s="20">
        <v>3492168</v>
      </c>
      <c r="P7" s="20">
        <v>3492168</v>
      </c>
      <c r="Q7" s="20">
        <v>3492168</v>
      </c>
      <c r="R7" s="20">
        <v>3492168</v>
      </c>
      <c r="S7" s="20">
        <v>3492168</v>
      </c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</row>
    <row r="8" spans="2:35" x14ac:dyDescent="0.35">
      <c r="B8" s="7" t="s">
        <v>56</v>
      </c>
      <c r="C8" s="20">
        <v>482528</v>
      </c>
      <c r="D8" s="20">
        <v>483902</v>
      </c>
      <c r="E8" s="21">
        <v>485381</v>
      </c>
      <c r="F8" s="21">
        <v>486728</v>
      </c>
      <c r="G8" s="21">
        <v>488279</v>
      </c>
      <c r="H8" s="21">
        <v>489717</v>
      </c>
      <c r="I8" s="21">
        <v>490748</v>
      </c>
      <c r="J8" s="20">
        <v>491828</v>
      </c>
      <c r="K8" s="20">
        <v>493324</v>
      </c>
      <c r="L8" s="20">
        <v>494550</v>
      </c>
      <c r="M8" s="20">
        <v>495946</v>
      </c>
      <c r="N8" s="20">
        <v>497106</v>
      </c>
      <c r="O8" s="20">
        <v>498500</v>
      </c>
      <c r="P8" s="20">
        <v>499743</v>
      </c>
      <c r="Q8" s="20">
        <v>500939</v>
      </c>
      <c r="R8" s="20">
        <v>502219</v>
      </c>
      <c r="S8" s="20">
        <v>503113</v>
      </c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</row>
    <row r="9" spans="2:35" x14ac:dyDescent="0.35">
      <c r="B9" s="7" t="s">
        <v>34</v>
      </c>
      <c r="C9" s="21">
        <v>4033</v>
      </c>
      <c r="D9" s="21">
        <v>4033</v>
      </c>
      <c r="E9" s="21">
        <v>4033</v>
      </c>
      <c r="F9" s="21">
        <v>4033</v>
      </c>
      <c r="G9" s="21">
        <v>4033</v>
      </c>
      <c r="H9" s="21">
        <v>4033</v>
      </c>
      <c r="I9" s="21">
        <v>4033</v>
      </c>
      <c r="J9" s="21">
        <v>4033</v>
      </c>
      <c r="K9" s="21">
        <v>4033</v>
      </c>
      <c r="L9" s="21">
        <v>4033</v>
      </c>
      <c r="M9" s="21">
        <v>4033</v>
      </c>
      <c r="N9" s="21">
        <v>4033</v>
      </c>
      <c r="O9" s="21">
        <v>4033</v>
      </c>
      <c r="P9" s="21">
        <v>4033</v>
      </c>
      <c r="Q9" s="21">
        <v>4033</v>
      </c>
      <c r="R9" s="21">
        <v>4033</v>
      </c>
      <c r="S9" s="21">
        <v>4033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0"/>
      <c r="AH9" s="20"/>
      <c r="AI9" s="20"/>
    </row>
    <row r="10" spans="2:35" x14ac:dyDescent="0.35">
      <c r="B10" s="7" t="s">
        <v>35</v>
      </c>
      <c r="C10" s="21">
        <v>6841</v>
      </c>
      <c r="D10" s="21">
        <v>6841</v>
      </c>
      <c r="E10" s="21">
        <v>6841</v>
      </c>
      <c r="F10" s="21">
        <v>6841</v>
      </c>
      <c r="G10" s="21">
        <v>6841</v>
      </c>
      <c r="H10" s="21">
        <v>6841</v>
      </c>
      <c r="I10" s="21">
        <v>6841</v>
      </c>
      <c r="J10" s="21">
        <v>6841</v>
      </c>
      <c r="K10" s="21">
        <v>6841</v>
      </c>
      <c r="L10" s="21">
        <v>6841</v>
      </c>
      <c r="M10" s="21">
        <v>6841</v>
      </c>
      <c r="N10" s="21">
        <v>6841</v>
      </c>
      <c r="O10" s="21">
        <v>6841</v>
      </c>
      <c r="P10" s="21">
        <v>6841</v>
      </c>
      <c r="Q10" s="21">
        <v>6841</v>
      </c>
      <c r="R10" s="21">
        <v>6841</v>
      </c>
      <c r="S10" s="21">
        <v>6841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0"/>
      <c r="AH10" s="20"/>
      <c r="AI10" s="20"/>
    </row>
    <row r="11" spans="2:35" x14ac:dyDescent="0.35">
      <c r="B11" s="7" t="s">
        <v>43</v>
      </c>
      <c r="C11" s="21">
        <v>972</v>
      </c>
      <c r="D11" s="21">
        <v>972</v>
      </c>
      <c r="E11" s="21">
        <v>972</v>
      </c>
      <c r="F11" s="21">
        <v>972</v>
      </c>
      <c r="G11" s="21">
        <v>972</v>
      </c>
      <c r="H11" s="21">
        <v>972</v>
      </c>
      <c r="I11" s="21">
        <v>972</v>
      </c>
      <c r="J11" s="21">
        <v>972</v>
      </c>
      <c r="K11" s="21">
        <v>972</v>
      </c>
      <c r="L11" s="21">
        <v>972</v>
      </c>
      <c r="M11" s="21">
        <v>972</v>
      </c>
      <c r="N11" s="21">
        <v>972</v>
      </c>
      <c r="O11" s="21">
        <v>972</v>
      </c>
      <c r="P11" s="21">
        <v>972</v>
      </c>
      <c r="Q11" s="21">
        <v>972</v>
      </c>
      <c r="R11" s="21">
        <v>972</v>
      </c>
      <c r="S11" s="21">
        <v>972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0"/>
      <c r="AH11" s="20"/>
      <c r="AI11" s="20"/>
    </row>
    <row r="12" spans="2:35" x14ac:dyDescent="0.35">
      <c r="B12" s="7" t="s">
        <v>44</v>
      </c>
      <c r="C12" s="20">
        <v>25941</v>
      </c>
      <c r="D12" s="20">
        <v>25941</v>
      </c>
      <c r="E12" s="20">
        <v>25941</v>
      </c>
      <c r="F12" s="20">
        <v>25941</v>
      </c>
      <c r="G12" s="20">
        <v>25941</v>
      </c>
      <c r="H12" s="20">
        <v>25941</v>
      </c>
      <c r="I12" s="20">
        <v>25941</v>
      </c>
      <c r="J12" s="20">
        <v>25941</v>
      </c>
      <c r="K12" s="20">
        <v>25941</v>
      </c>
      <c r="L12" s="20">
        <v>25941</v>
      </c>
      <c r="M12" s="20">
        <v>25941</v>
      </c>
      <c r="N12" s="20">
        <v>25941</v>
      </c>
      <c r="O12" s="20">
        <v>25941</v>
      </c>
      <c r="P12" s="20">
        <v>25941</v>
      </c>
      <c r="Q12" s="20">
        <v>25941</v>
      </c>
      <c r="R12" s="20">
        <v>25941</v>
      </c>
      <c r="S12" s="20">
        <v>25941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2:35" x14ac:dyDescent="0.35">
      <c r="B13" s="7" t="s">
        <v>36</v>
      </c>
      <c r="C13" s="20">
        <v>5687.4</v>
      </c>
      <c r="D13" s="20">
        <v>5687.4</v>
      </c>
      <c r="E13" s="20">
        <v>5687.4</v>
      </c>
      <c r="F13" s="20">
        <v>5688.7</v>
      </c>
      <c r="G13" s="20">
        <v>5688.7</v>
      </c>
      <c r="H13" s="20">
        <v>5688.7</v>
      </c>
      <c r="I13" s="20">
        <v>5693</v>
      </c>
      <c r="J13" s="20">
        <v>5693</v>
      </c>
      <c r="K13" s="20">
        <v>5693</v>
      </c>
      <c r="L13" s="20">
        <v>5698.7</v>
      </c>
      <c r="M13" s="20">
        <v>5699.6</v>
      </c>
      <c r="N13" s="20">
        <v>5702.5</v>
      </c>
      <c r="O13" s="20">
        <v>5702.5</v>
      </c>
      <c r="P13" s="20">
        <v>5702.5</v>
      </c>
      <c r="Q13" s="20">
        <v>5702.5</v>
      </c>
      <c r="R13" s="20">
        <v>5702.5</v>
      </c>
      <c r="S13" s="20">
        <v>5702.5</v>
      </c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</row>
    <row r="14" spans="2:35" x14ac:dyDescent="0.35">
      <c r="B14" s="7" t="s">
        <v>37</v>
      </c>
      <c r="C14" s="20">
        <v>12538.2</v>
      </c>
      <c r="D14" s="20">
        <v>12538.2</v>
      </c>
      <c r="E14" s="20">
        <v>12538.2</v>
      </c>
      <c r="F14" s="20">
        <v>12538.2</v>
      </c>
      <c r="G14" s="20">
        <v>12538.2</v>
      </c>
      <c r="H14" s="20">
        <v>12538.2</v>
      </c>
      <c r="I14" s="20">
        <v>12538.2</v>
      </c>
      <c r="J14" s="20">
        <v>12538.2</v>
      </c>
      <c r="K14" s="20">
        <v>12538.2</v>
      </c>
      <c r="L14" s="20">
        <v>12538.2</v>
      </c>
      <c r="M14" s="20">
        <v>12538.2</v>
      </c>
      <c r="N14" s="20">
        <v>12538.2</v>
      </c>
      <c r="O14" s="20">
        <v>12538.2</v>
      </c>
      <c r="P14" s="20">
        <v>12538.2</v>
      </c>
      <c r="Q14" s="20">
        <v>12538.2</v>
      </c>
      <c r="R14" s="20">
        <v>12538.2</v>
      </c>
      <c r="S14" s="20">
        <v>12538.2</v>
      </c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</row>
    <row r="15" spans="2:35" x14ac:dyDescent="0.35">
      <c r="B15" s="7" t="s">
        <v>74</v>
      </c>
      <c r="C15" s="20">
        <v>30943</v>
      </c>
      <c r="D15" s="20">
        <v>30944</v>
      </c>
      <c r="E15" s="20">
        <v>30944.7</v>
      </c>
      <c r="F15" s="20">
        <v>30944.7</v>
      </c>
      <c r="G15" s="20">
        <v>30944.7</v>
      </c>
      <c r="H15" s="20">
        <v>30944.7</v>
      </c>
      <c r="I15" s="20">
        <v>30944.7</v>
      </c>
      <c r="J15" s="20">
        <v>30944.7</v>
      </c>
      <c r="K15" s="20">
        <v>30944.7</v>
      </c>
      <c r="L15" s="20">
        <v>30944.7</v>
      </c>
      <c r="M15" s="20">
        <v>30945.4</v>
      </c>
      <c r="N15" s="20">
        <v>30946.2</v>
      </c>
      <c r="O15" s="20">
        <v>30948.5</v>
      </c>
      <c r="P15" s="20">
        <v>30949.8</v>
      </c>
      <c r="Q15" s="20">
        <v>30949.8</v>
      </c>
      <c r="R15" s="20">
        <v>30951.1</v>
      </c>
      <c r="S15" s="20">
        <v>30957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  <row r="16" spans="2:35" x14ac:dyDescent="0.35">
      <c r="B16" s="7" t="s">
        <v>75</v>
      </c>
      <c r="C16" s="20">
        <v>3501.8</v>
      </c>
      <c r="D16" s="20">
        <v>3502.8</v>
      </c>
      <c r="E16" s="20">
        <v>3502.8</v>
      </c>
      <c r="F16" s="20">
        <v>3502.8</v>
      </c>
      <c r="G16" s="20">
        <v>3502.8</v>
      </c>
      <c r="H16" s="20">
        <v>3502.8</v>
      </c>
      <c r="I16" s="20">
        <v>3504.2</v>
      </c>
      <c r="J16" s="20">
        <v>3504.2</v>
      </c>
      <c r="K16" s="20">
        <v>3504.2</v>
      </c>
      <c r="L16" s="20">
        <v>3504.2</v>
      </c>
      <c r="M16" s="20">
        <v>3504.2</v>
      </c>
      <c r="N16" s="20">
        <v>3504.2</v>
      </c>
      <c r="O16" s="20">
        <v>3504.2</v>
      </c>
      <c r="P16" s="20">
        <v>3504.2</v>
      </c>
      <c r="Q16" s="20">
        <v>3504.2</v>
      </c>
      <c r="R16" s="20">
        <v>3504.2</v>
      </c>
      <c r="S16" s="20">
        <v>3504.2</v>
      </c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</row>
    <row r="17" spans="2:35" x14ac:dyDescent="0.35">
      <c r="B17" s="7" t="s">
        <v>90</v>
      </c>
      <c r="C17" s="20">
        <v>3501.8</v>
      </c>
      <c r="D17" s="20">
        <v>23.3</v>
      </c>
      <c r="E17" s="20">
        <v>23.3</v>
      </c>
      <c r="F17" s="20">
        <v>22.7</v>
      </c>
      <c r="G17" s="20">
        <v>24</v>
      </c>
      <c r="H17" s="20">
        <v>24</v>
      </c>
      <c r="I17" s="20">
        <v>18.3</v>
      </c>
      <c r="J17" s="20">
        <v>24</v>
      </c>
      <c r="K17" s="20">
        <v>24</v>
      </c>
      <c r="L17" s="20">
        <v>18.3</v>
      </c>
      <c r="M17" s="20">
        <v>22.4</v>
      </c>
      <c r="N17" s="20">
        <v>20.3</v>
      </c>
      <c r="O17" s="20">
        <v>21.7</v>
      </c>
      <c r="P17" s="20">
        <v>22.7</v>
      </c>
      <c r="Q17" s="20">
        <v>24</v>
      </c>
      <c r="R17" s="20">
        <v>22.7</v>
      </c>
      <c r="S17" s="20">
        <v>18</v>
      </c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DJv8Ywnx4llR06KWbxohvUP4M0V7yepqPcMAnGQcgOY1eTxLyXMGWUgE3QJvgQyTiQyRFcB3wsOpolxFQz2klA==" saltValue="NLBw8PVYv90wTYsrOiZq4w==" spinCount="100000" sqref="AG9:AH12 S6:AH6 S2:AH2 T13:AH14" name="Range1"/>
    <protectedRange algorithmName="SHA-512" hashValue="DJv8Ywnx4llR06KWbxohvUP4M0V7yepqPcMAnGQcgOY1eTxLyXMGWUgE3QJvgQyTiQyRFcB3wsOpolxFQz2klA==" saltValue="NLBw8PVYv90wTYsrOiZq4w==" spinCount="100000" sqref="E3:F3 F2 T9:AF11 G2:I3 E6:I8" name="Range1_1"/>
    <protectedRange algorithmName="SHA-512" hashValue="DJv8Ywnx4llR06KWbxohvUP4M0V7yepqPcMAnGQcgOY1eTxLyXMGWUgE3QJvgQyTiQyRFcB3wsOpolxFQz2klA==" saltValue="NLBw8PVYv90wTYsrOiZq4w==" spinCount="100000" sqref="L13:S13" name="Range1_4"/>
    <protectedRange algorithmName="SHA-512" hashValue="DJv8Ywnx4llR06KWbxohvUP4M0V7yepqPcMAnGQcgOY1eTxLyXMGWUgE3QJvgQyTiQyRFcB3wsOpolxFQz2klA==" saltValue="NLBw8PVYv90wTYsrOiZq4w==" spinCount="100000" sqref="C6 C2 C13:K14 L14:S14" name="Range1_3"/>
    <protectedRange algorithmName="SHA-512" hashValue="DJv8Ywnx4llR06KWbxohvUP4M0V7yepqPcMAnGQcgOY1eTxLyXMGWUgE3QJvgQyTiQyRFcB3wsOpolxFQz2klA==" saltValue="NLBw8PVYv90wTYsrOiZq4w==" spinCount="100000" sqref="C9:S11" name="Range1_1_1"/>
  </protectedRanges>
  <phoneticPr fontId="3" type="noConversion"/>
  <printOptions horizontalCentered="1"/>
  <pageMargins left="0.11811023622047245" right="0.11811023622047245" top="0.15748031496062992" bottom="0.15748031496062992" header="0.31496062992125984" footer="0.31496062992125984"/>
  <pageSetup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44"/>
  <sheetViews>
    <sheetView zoomScaleNormal="16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D18" sqref="D18"/>
    </sheetView>
  </sheetViews>
  <sheetFormatPr defaultRowHeight="14.5" x14ac:dyDescent="0.35"/>
  <cols>
    <col min="1" max="1" width="10.453125" bestFit="1" customWidth="1"/>
    <col min="2" max="18" width="13.7265625" customWidth="1"/>
    <col min="19" max="19" width="11.54296875" customWidth="1"/>
    <col min="20" max="20" width="11.453125" customWidth="1"/>
    <col min="21" max="26" width="0" hidden="1" customWidth="1"/>
    <col min="27" max="27" width="13.453125" hidden="1" customWidth="1"/>
    <col min="28" max="28" width="13.7265625" hidden="1" customWidth="1"/>
    <col min="29" max="39" width="13.7265625" customWidth="1"/>
  </cols>
  <sheetData>
    <row r="1" spans="1:30" ht="58" x14ac:dyDescent="0.35">
      <c r="A1" s="1" t="s">
        <v>0</v>
      </c>
      <c r="B1" s="2" t="s">
        <v>48</v>
      </c>
      <c r="C1" s="2" t="s">
        <v>1</v>
      </c>
      <c r="D1" s="2" t="s">
        <v>91</v>
      </c>
      <c r="E1" s="2" t="s">
        <v>5</v>
      </c>
      <c r="F1" s="2" t="s">
        <v>4</v>
      </c>
      <c r="G1" s="2" t="s">
        <v>40</v>
      </c>
      <c r="H1" s="2" t="s">
        <v>6</v>
      </c>
      <c r="I1" s="2" t="s">
        <v>2</v>
      </c>
      <c r="J1" s="3" t="s">
        <v>3</v>
      </c>
      <c r="K1" s="3" t="s">
        <v>80</v>
      </c>
      <c r="L1" s="3" t="s">
        <v>85</v>
      </c>
      <c r="M1" s="2" t="s">
        <v>7</v>
      </c>
      <c r="N1" s="2" t="s">
        <v>8</v>
      </c>
      <c r="O1" s="2" t="s">
        <v>42</v>
      </c>
      <c r="P1" s="2" t="s">
        <v>11</v>
      </c>
      <c r="Q1" s="2" t="s">
        <v>9</v>
      </c>
      <c r="R1" s="2" t="s">
        <v>10</v>
      </c>
      <c r="S1" s="2" t="s">
        <v>86</v>
      </c>
      <c r="T1" s="2" t="s">
        <v>87</v>
      </c>
      <c r="U1" s="2" t="s">
        <v>15</v>
      </c>
      <c r="V1" s="2" t="s">
        <v>16</v>
      </c>
      <c r="W1" s="2" t="s">
        <v>45</v>
      </c>
      <c r="X1" s="2" t="s">
        <v>17</v>
      </c>
      <c r="Y1" s="2" t="s">
        <v>59</v>
      </c>
      <c r="Z1" s="2" t="s">
        <v>60</v>
      </c>
      <c r="AA1" s="2" t="s">
        <v>88</v>
      </c>
      <c r="AB1" s="2" t="s">
        <v>89</v>
      </c>
      <c r="AC1" s="2" t="s">
        <v>66</v>
      </c>
      <c r="AD1" s="2" t="s">
        <v>65</v>
      </c>
    </row>
    <row r="2" spans="1:30" hidden="1" x14ac:dyDescent="0.35">
      <c r="A2" s="4">
        <v>46203</v>
      </c>
      <c r="B2" s="6">
        <v>0</v>
      </c>
      <c r="C2" s="6">
        <v>8630</v>
      </c>
      <c r="D2" s="6"/>
      <c r="E2" s="5">
        <v>0</v>
      </c>
      <c r="F2" s="8">
        <v>24</v>
      </c>
      <c r="G2" s="8">
        <v>22</v>
      </c>
      <c r="H2" s="8">
        <v>0</v>
      </c>
      <c r="I2" s="10">
        <v>0</v>
      </c>
      <c r="J2" s="9">
        <v>0</v>
      </c>
      <c r="K2" s="9">
        <v>0</v>
      </c>
      <c r="L2" s="9">
        <v>0</v>
      </c>
      <c r="M2" s="9">
        <v>1452</v>
      </c>
      <c r="N2" s="9">
        <v>1245</v>
      </c>
      <c r="O2" s="9">
        <v>3052</v>
      </c>
      <c r="P2" s="9">
        <v>999</v>
      </c>
      <c r="Q2" s="9">
        <v>136.6</v>
      </c>
      <c r="R2" s="9">
        <v>105.3</v>
      </c>
      <c r="S2" s="9">
        <f>Table113456[[#This Row],[DG Utility REM SERVICE Hr]]</f>
        <v>206</v>
      </c>
      <c r="T2" s="9">
        <f>Table113456[[#This Row],[DG Admin REM SERVICE Hr]]</f>
        <v>38.199999999999818</v>
      </c>
      <c r="U2" s="9"/>
      <c r="V2" s="9"/>
      <c r="W2" s="9"/>
      <c r="X2" s="9"/>
      <c r="Y2" s="9"/>
      <c r="Z2" s="9"/>
      <c r="AA2" s="9"/>
      <c r="AB2" s="9"/>
      <c r="AC2" s="9"/>
      <c r="AD2" s="9">
        <v>44058</v>
      </c>
    </row>
    <row r="3" spans="1:30" hidden="1" x14ac:dyDescent="0.35">
      <c r="A3" s="32">
        <f>'PowerHouse Data'!$C$1</f>
        <v>46265</v>
      </c>
      <c r="B3" s="16">
        <f>Table113456[[#This Row],[Main Tank
Consumption (Liters)]]</f>
        <v>32.5</v>
      </c>
      <c r="C3" s="5">
        <f>Table1135[[#This Row],[NEPA Consumption (KWH)]]</f>
        <v>1170</v>
      </c>
      <c r="D3" s="5"/>
      <c r="E3" s="5">
        <f>Table113[[#This Row],[Comp E75 -1
Run Hours]]</f>
        <v>0</v>
      </c>
      <c r="F3" s="8">
        <f>Table113[[#This Row],[Comp E75 -2
Run Hours]]</f>
        <v>0</v>
      </c>
      <c r="G3" s="8">
        <f>Table113[[#This Row],[Comp E75 -3
Run Hours]]</f>
        <v>0</v>
      </c>
      <c r="H3" s="8">
        <f>Table113[[#This Row],[Comp E55 Run Hours]]</f>
        <v>0</v>
      </c>
      <c r="I3" s="10">
        <f>Table113456[[#This Row],[DG Milling Run Hours]]</f>
        <v>0</v>
      </c>
      <c r="J3" s="9">
        <f>Table113456[[#This Row],[DG Parboiling 
Run Hours]]</f>
        <v>0</v>
      </c>
      <c r="K3" s="9">
        <f>Table113456[[#This Row],[DG Utility Run Hours]]</f>
        <v>1</v>
      </c>
      <c r="L3" s="9">
        <f>Table113456[[#This Row],[DG Admin Run Hours]]</f>
        <v>1</v>
      </c>
      <c r="M3" s="9">
        <f>Table113[[#This Row],[Comp E75 -1
Rem Hours To Service]]</f>
        <v>1407</v>
      </c>
      <c r="N3" s="9">
        <f>Table113[[#This Row],[Comp E75 -2
Rem Hours To Service]]</f>
        <v>1225</v>
      </c>
      <c r="O3" s="9">
        <f>Table113[[#This Row],[Comp E75 -3
Rem Hours To Service]]</f>
        <v>3028</v>
      </c>
      <c r="P3" s="9">
        <f>Table113[[#This Row],[Comp E55 Rem Hours To Service]]</f>
        <v>989</v>
      </c>
      <c r="Q3" s="9">
        <f>$Y$3-Table113456[[#This Row],[DG Milling Run Hr Meter]]</f>
        <v>136.60000000000036</v>
      </c>
      <c r="R3" s="9">
        <f>Table113456[[#This Row],[DG Parboil REM SERVICE Hr]]</f>
        <v>105.29999999999927</v>
      </c>
      <c r="S3" s="9">
        <f>Table113456[[#This Row],[DG Utility REM SERVICE Hr]]</f>
        <v>206</v>
      </c>
      <c r="T3" s="9">
        <f>Table113456[[#This Row],[DG Admin REM SERVICE Hr]]</f>
        <v>37.199999999999818</v>
      </c>
      <c r="U3" s="9">
        <v>5440</v>
      </c>
      <c r="V3" s="9">
        <v>8066</v>
      </c>
      <c r="W3" s="9">
        <v>4000</v>
      </c>
      <c r="X3" s="9">
        <v>26930</v>
      </c>
      <c r="Y3" s="9">
        <v>5824</v>
      </c>
      <c r="Z3" s="9">
        <v>12643</v>
      </c>
      <c r="AA3" s="9">
        <v>31150</v>
      </c>
      <c r="AB3" s="9">
        <v>3540</v>
      </c>
      <c r="AC3" s="9">
        <v>5184</v>
      </c>
      <c r="AD3" s="9">
        <f>Diesel!I3</f>
        <v>45646.5</v>
      </c>
    </row>
    <row r="4" spans="1:30" x14ac:dyDescent="0.35">
      <c r="A4" s="32">
        <f>'PowerHouse Data'!$D$1</f>
        <v>46266</v>
      </c>
      <c r="B4" s="16">
        <f>Table113456[[#This Row],[Main Tank
Consumption (Liters)]]</f>
        <v>0</v>
      </c>
      <c r="C4" s="5">
        <f>Table1135[[#This Row],[NEPA Consumption (KWH)]]</f>
        <v>1280</v>
      </c>
      <c r="D4" s="10">
        <f>Table1135[[#This Row],[NEPA Availablity]]</f>
        <v>23.3</v>
      </c>
      <c r="E4" s="5">
        <f>Table113[[#This Row],[Comp E75 -1
Run Hours]]</f>
        <v>0</v>
      </c>
      <c r="F4" s="8">
        <f>Table113[[#This Row],[Comp E75 -2
Run Hours]]</f>
        <v>0</v>
      </c>
      <c r="G4" s="8">
        <f>Table113[[#This Row],[Comp E75 -3
Run Hours]]</f>
        <v>0</v>
      </c>
      <c r="H4" s="8">
        <f>Table113[[#This Row],[Comp E55 Run Hours]]</f>
        <v>0</v>
      </c>
      <c r="I4" s="10">
        <f>Table113456[[#This Row],[DG Milling Run Hours]]</f>
        <v>0</v>
      </c>
      <c r="J4" s="9">
        <f>Table113456[[#This Row],[DG Parboiling 
Run Hours]]</f>
        <v>0</v>
      </c>
      <c r="K4" s="9">
        <f>Table113456[[#This Row],[DG Utility Run Hours]]</f>
        <v>0.7000000000007276</v>
      </c>
      <c r="L4" s="9">
        <f>Table113456[[#This Row],[DG Admin Run Hours]]</f>
        <v>0</v>
      </c>
      <c r="M4" s="9">
        <f>Table113[[#This Row],[Comp E75 -1
Rem Hours To Service]]</f>
        <v>1407</v>
      </c>
      <c r="N4" s="9">
        <f>Table113[[#This Row],[Comp E75 -2
Rem Hours To Service]]</f>
        <v>1225</v>
      </c>
      <c r="O4" s="9">
        <f>Table113[[#This Row],[Comp E75 -3
Rem Hours To Service]]</f>
        <v>3028</v>
      </c>
      <c r="P4" s="9">
        <f>Table113[[#This Row],[Comp E55 Rem Hours To Service]]</f>
        <v>989</v>
      </c>
      <c r="Q4" s="9">
        <f>$Y$3-Table113456[[#This Row],[DG Milling Run Hr Meter]]</f>
        <v>136.60000000000036</v>
      </c>
      <c r="R4" s="9">
        <f>Table113456[[#This Row],[DG Parboil REM SERVICE Hr]]</f>
        <v>105.29999999999927</v>
      </c>
      <c r="S4" s="9">
        <f>Table113456[[#This Row],[DG Utility REM SERVICE Hr]]</f>
        <v>205.29999999999927</v>
      </c>
      <c r="T4" s="9">
        <f>Table113456[[#This Row],[DG Admin REM SERVICE Hr]]</f>
        <v>37.199999999999818</v>
      </c>
      <c r="U4" s="9"/>
      <c r="V4" s="9"/>
      <c r="W4" s="9"/>
      <c r="X4" s="9"/>
      <c r="Y4" s="9"/>
      <c r="Z4" s="9"/>
      <c r="AA4" s="9"/>
      <c r="AB4" s="9"/>
      <c r="AC4" s="9">
        <v>5184</v>
      </c>
      <c r="AD4" s="9">
        <f>Diesel!I4</f>
        <v>45646.5</v>
      </c>
    </row>
    <row r="5" spans="1:30" x14ac:dyDescent="0.35">
      <c r="A5" s="32">
        <f>'PowerHouse Data'!$E$1</f>
        <v>46267</v>
      </c>
      <c r="B5" s="16">
        <f>Table113456[[#This Row],[Main Tank
Consumption (Liters)]]</f>
        <v>98.5</v>
      </c>
      <c r="C5" s="5">
        <f>Table1135[[#This Row],[NEPA Consumption (KWH)]]</f>
        <v>1140</v>
      </c>
      <c r="D5" s="10">
        <f>Table1135[[#This Row],[NEPA Availablity]]</f>
        <v>22.7</v>
      </c>
      <c r="E5" s="5">
        <f>Table113[[#This Row],[Comp E75 -1
Run Hours]]</f>
        <v>0</v>
      </c>
      <c r="F5" s="8">
        <f>Table113[[#This Row],[Comp E75 -2
Run Hours]]</f>
        <v>0</v>
      </c>
      <c r="G5" s="8">
        <f>Table113[[#This Row],[Comp E75 -3
Run Hours]]</f>
        <v>0</v>
      </c>
      <c r="H5" s="8">
        <f>Table113[[#This Row],[Comp E55 Run Hours]]</f>
        <v>0</v>
      </c>
      <c r="I5" s="10">
        <f>Table113456[[#This Row],[DG Milling Run Hours]]</f>
        <v>1.3000000000001819</v>
      </c>
      <c r="J5" s="9">
        <f>Table113456[[#This Row],[DG Parboiling 
Run Hours]]</f>
        <v>0</v>
      </c>
      <c r="K5" s="9">
        <f>Table113456[[#This Row],[DG Utility Run Hours]]</f>
        <v>0</v>
      </c>
      <c r="L5" s="9">
        <f>Table113456[[#This Row],[DG Admin Run Hours]]</f>
        <v>0</v>
      </c>
      <c r="M5" s="9">
        <f>Table113[[#This Row],[Comp E75 -1
Rem Hours To Service]]</f>
        <v>1407</v>
      </c>
      <c r="N5" s="9">
        <f>Table113[[#This Row],[Comp E75 -2
Rem Hours To Service]]</f>
        <v>1225</v>
      </c>
      <c r="O5" s="9">
        <f>Table113[[#This Row],[Comp E75 -3
Rem Hours To Service]]</f>
        <v>3028</v>
      </c>
      <c r="P5" s="9">
        <f>Table113[[#This Row],[Comp E55 Rem Hours To Service]]</f>
        <v>989</v>
      </c>
      <c r="Q5" s="9">
        <f>$Y$3-Table113456[[#This Row],[DG Milling Run Hr Meter]]</f>
        <v>135.30000000000018</v>
      </c>
      <c r="R5" s="9">
        <f>Table113456[[#This Row],[DG Parboil REM SERVICE Hr]]</f>
        <v>105.29999999999927</v>
      </c>
      <c r="S5" s="9">
        <f>Table113456[[#This Row],[DG Utility REM SERVICE Hr]]</f>
        <v>205.29999999999927</v>
      </c>
      <c r="T5" s="9">
        <f>Table113456[[#This Row],[DG Admin REM SERVICE Hr]]</f>
        <v>37.199999999999818</v>
      </c>
      <c r="U5" s="9"/>
      <c r="V5" s="9"/>
      <c r="W5" s="9"/>
      <c r="X5" s="9"/>
      <c r="Y5" s="9"/>
      <c r="Z5" s="9"/>
      <c r="AA5" s="9"/>
      <c r="AB5" s="9"/>
      <c r="AC5" s="9"/>
      <c r="AD5" s="9">
        <f>Diesel!I5</f>
        <v>45548</v>
      </c>
    </row>
    <row r="6" spans="1:30" x14ac:dyDescent="0.35">
      <c r="A6" s="32">
        <f>'PowerHouse Data'!$F$1</f>
        <v>46268</v>
      </c>
      <c r="B6" s="16">
        <f>Table113456[[#This Row],[Main Tank
Consumption (Liters)]]</f>
        <v>0</v>
      </c>
      <c r="C6" s="5">
        <f>Table1135[[#This Row],[NEPA Consumption (KWH)]]</f>
        <v>1360</v>
      </c>
      <c r="D6" s="10">
        <f>Table1135[[#This Row],[NEPA Availablity]]</f>
        <v>24</v>
      </c>
      <c r="E6" s="5">
        <f>Table113[[#This Row],[Comp E75 -1
Run Hours]]</f>
        <v>0</v>
      </c>
      <c r="F6" s="8">
        <f>Table113[[#This Row],[Comp E75 -2
Run Hours]]</f>
        <v>0</v>
      </c>
      <c r="G6" s="8">
        <f>Table113[[#This Row],[Comp E75 -3
Run Hours]]</f>
        <v>0</v>
      </c>
      <c r="H6" s="8">
        <f>Table113[[#This Row],[Comp E55 Run Hours]]</f>
        <v>0</v>
      </c>
      <c r="I6" s="10">
        <f>Table113456[[#This Row],[DG Milling Run Hours]]</f>
        <v>0</v>
      </c>
      <c r="J6" s="9">
        <f>Table113456[[#This Row],[DG Parboiling 
Run Hours]]</f>
        <v>0</v>
      </c>
      <c r="K6" s="9">
        <f>Table113456[[#This Row],[DG Utility Run Hours]]</f>
        <v>0</v>
      </c>
      <c r="L6" s="9">
        <f>Table113456[[#This Row],[DG Admin Run Hours]]</f>
        <v>0</v>
      </c>
      <c r="M6" s="9">
        <f>Table113[[#This Row],[Comp E75 -1
Rem Hours To Service]]</f>
        <v>1407</v>
      </c>
      <c r="N6" s="9">
        <f>Table113[[#This Row],[Comp E75 -2
Rem Hours To Service]]</f>
        <v>1225</v>
      </c>
      <c r="O6" s="9">
        <f>Table113[[#This Row],[Comp E75 -3
Rem Hours To Service]]</f>
        <v>3028</v>
      </c>
      <c r="P6" s="9">
        <f>Table113[[#This Row],[Comp E55 Rem Hours To Service]]</f>
        <v>989</v>
      </c>
      <c r="Q6" s="9">
        <f>$Y$3-Table113456[[#This Row],[DG Milling Run Hr Meter]]</f>
        <v>135.30000000000018</v>
      </c>
      <c r="R6" s="9">
        <f>Table113456[[#This Row],[DG Parboil REM SERVICE Hr]]</f>
        <v>105.29999999999927</v>
      </c>
      <c r="S6" s="9">
        <f>Table113456[[#This Row],[DG Utility REM SERVICE Hr]]</f>
        <v>205.29999999999927</v>
      </c>
      <c r="T6" s="9">
        <f>Table113456[[#This Row],[DG Admin REM SERVICE Hr]]</f>
        <v>37.199999999999818</v>
      </c>
      <c r="U6" s="9"/>
      <c r="V6" s="9"/>
      <c r="W6" s="9"/>
      <c r="X6" s="9"/>
      <c r="Y6" s="9"/>
      <c r="Z6" s="9"/>
      <c r="AA6" s="9"/>
      <c r="AB6" s="9"/>
      <c r="AC6" s="9"/>
      <c r="AD6" s="9">
        <f>Diesel!I6</f>
        <v>45548</v>
      </c>
    </row>
    <row r="7" spans="1:30" x14ac:dyDescent="0.35">
      <c r="A7" s="32">
        <f>'PowerHouse Data'!$G$1</f>
        <v>46269</v>
      </c>
      <c r="B7" s="16">
        <f>Table113456[[#This Row],[Main Tank
Consumption (Liters)]]</f>
        <v>0</v>
      </c>
      <c r="C7" s="5">
        <f>Table1135[[#This Row],[NEPA Consumption (KWH)]]</f>
        <v>1260</v>
      </c>
      <c r="D7" s="10">
        <f>Table1135[[#This Row],[NEPA Availablity]]</f>
        <v>24</v>
      </c>
      <c r="E7" s="5">
        <f>Table113[[#This Row],[Comp E75 -1
Run Hours]]</f>
        <v>0</v>
      </c>
      <c r="F7" s="8">
        <f>Table113[[#This Row],[Comp E75 -2
Run Hours]]</f>
        <v>0</v>
      </c>
      <c r="G7" s="8">
        <f>Table113[[#This Row],[Comp E75 -3
Run Hours]]</f>
        <v>0</v>
      </c>
      <c r="H7" s="8">
        <f>Table113[[#This Row],[Comp E55 Run Hours]]</f>
        <v>0</v>
      </c>
      <c r="I7" s="10">
        <f>Table113456[[#This Row],[DG Milling Run Hours]]</f>
        <v>0</v>
      </c>
      <c r="J7" s="9">
        <f>Table113456[[#This Row],[DG Parboiling 
Run Hours]]</f>
        <v>0</v>
      </c>
      <c r="K7" s="9">
        <f>Table113456[[#This Row],[DG Utility Run Hours]]</f>
        <v>0</v>
      </c>
      <c r="L7" s="9">
        <f>Table113456[[#This Row],[DG Admin Run Hours]]</f>
        <v>0</v>
      </c>
      <c r="M7" s="9">
        <f>Table113[[#This Row],[Comp E75 -1
Rem Hours To Service]]</f>
        <v>1407</v>
      </c>
      <c r="N7" s="9">
        <f>Table113[[#This Row],[Comp E75 -2
Rem Hours To Service]]</f>
        <v>1225</v>
      </c>
      <c r="O7" s="9">
        <f>Table113[[#This Row],[Comp E75 -3
Rem Hours To Service]]</f>
        <v>3028</v>
      </c>
      <c r="P7" s="9">
        <f>Table113[[#This Row],[Comp E55 Rem Hours To Service]]</f>
        <v>989</v>
      </c>
      <c r="Q7" s="9">
        <f>$Y$3-Table113456[[#This Row],[DG Milling Run Hr Meter]]</f>
        <v>135.30000000000018</v>
      </c>
      <c r="R7" s="9">
        <f>Table113456[[#This Row],[DG Parboil REM SERVICE Hr]]</f>
        <v>105.29999999999927</v>
      </c>
      <c r="S7" s="9">
        <f>Table113456[[#This Row],[DG Utility REM SERVICE Hr]]</f>
        <v>205.29999999999927</v>
      </c>
      <c r="T7" s="9">
        <f>Table113456[[#This Row],[DG Admin REM SERVICE Hr]]</f>
        <v>37.199999999999818</v>
      </c>
      <c r="U7" s="9"/>
      <c r="V7" s="9"/>
      <c r="W7" s="9"/>
      <c r="X7" s="9"/>
      <c r="Y7" s="9"/>
      <c r="Z7" s="9"/>
      <c r="AA7" s="9"/>
      <c r="AB7" s="9"/>
      <c r="AC7" s="9"/>
      <c r="AD7" s="9">
        <f>Diesel!I7</f>
        <v>45492</v>
      </c>
    </row>
    <row r="8" spans="1:30" x14ac:dyDescent="0.35">
      <c r="A8" s="32">
        <f>'PowerHouse Data'!$H$1</f>
        <v>46270</v>
      </c>
      <c r="B8" s="16">
        <f>Table113456[[#This Row],[Main Tank
Consumption (Liters)]]</f>
        <v>266</v>
      </c>
      <c r="C8" s="5">
        <f>Table1135[[#This Row],[NEPA Consumption (KWH)]]</f>
        <v>890</v>
      </c>
      <c r="D8" s="10">
        <f>Table1135[[#This Row],[NEPA Availablity]]</f>
        <v>18.3</v>
      </c>
      <c r="E8" s="5">
        <f>Table113[[#This Row],[Comp E75 -1
Run Hours]]</f>
        <v>0</v>
      </c>
      <c r="F8" s="8">
        <f>Table113[[#This Row],[Comp E75 -2
Run Hours]]</f>
        <v>0</v>
      </c>
      <c r="G8" s="8">
        <f>Table113[[#This Row],[Comp E75 -3
Run Hours]]</f>
        <v>0</v>
      </c>
      <c r="H8" s="8">
        <f>Table113[[#This Row],[Comp E55 Run Hours]]</f>
        <v>0</v>
      </c>
      <c r="I8" s="10">
        <f>Table113456[[#This Row],[DG Milling Run Hours]]</f>
        <v>4.3000000000001819</v>
      </c>
      <c r="J8" s="9">
        <f>Table113456[[#This Row],[DG Parboiling 
Run Hours]]</f>
        <v>0</v>
      </c>
      <c r="K8" s="9">
        <f>Table113456[[#This Row],[DG Utility Run Hours]]</f>
        <v>0</v>
      </c>
      <c r="L8" s="9">
        <f>Table113456[[#This Row],[DG Admin Run Hours]]</f>
        <v>1.3999999999996362</v>
      </c>
      <c r="M8" s="9">
        <f>Table113[[#This Row],[Comp E75 -1
Rem Hours To Service]]</f>
        <v>1407</v>
      </c>
      <c r="N8" s="9">
        <f>Table113[[#This Row],[Comp E75 -2
Rem Hours To Service]]</f>
        <v>1225</v>
      </c>
      <c r="O8" s="9">
        <f>Table113[[#This Row],[Comp E75 -3
Rem Hours To Service]]</f>
        <v>3028</v>
      </c>
      <c r="P8" s="9">
        <f>Table113[[#This Row],[Comp E55 Rem Hours To Service]]</f>
        <v>989</v>
      </c>
      <c r="Q8" s="9">
        <f>$Y$3-Table113456[[#This Row],[DG Milling Run Hr Meter]]</f>
        <v>131</v>
      </c>
      <c r="R8" s="9">
        <f>Table113456[[#This Row],[DG Parboil REM SERVICE Hr]]</f>
        <v>105.29999999999927</v>
      </c>
      <c r="S8" s="9">
        <f>Table113456[[#This Row],[DG Utility REM SERVICE Hr]]</f>
        <v>205.29999999999927</v>
      </c>
      <c r="T8" s="9">
        <f>Table113456[[#This Row],[DG Admin REM SERVICE Hr]]</f>
        <v>35.800000000000182</v>
      </c>
      <c r="U8" s="9"/>
      <c r="V8" s="9"/>
      <c r="W8" s="9"/>
      <c r="X8" s="9"/>
      <c r="Y8" s="9"/>
      <c r="Z8" s="9"/>
      <c r="AA8" s="9"/>
      <c r="AB8" s="9"/>
      <c r="AC8" s="9"/>
      <c r="AD8" s="9">
        <f>Diesel!I8</f>
        <v>45282</v>
      </c>
    </row>
    <row r="9" spans="1:30" x14ac:dyDescent="0.35">
      <c r="A9" s="32">
        <f>'PowerHouse Data'!$I$1</f>
        <v>46271</v>
      </c>
      <c r="B9" s="19">
        <f>Table113456[[#This Row],[Main Tank
Consumption (Liters)]]</f>
        <v>0</v>
      </c>
      <c r="C9" s="6">
        <f>Table1135[[#This Row],[NEPA Consumption (KWH)]]</f>
        <v>990</v>
      </c>
      <c r="D9" s="10">
        <f>Table1135[[#This Row],[NEPA Availablity]]</f>
        <v>24</v>
      </c>
      <c r="E9" s="5">
        <f>Table113[[#This Row],[Comp E75 -1
Run Hours]]</f>
        <v>0</v>
      </c>
      <c r="F9" s="8">
        <f>Table113[[#This Row],[Comp E75 -2
Run Hours]]</f>
        <v>0</v>
      </c>
      <c r="G9" s="8">
        <f>Table113[[#This Row],[Comp E75 -3
Run Hours]]</f>
        <v>0</v>
      </c>
      <c r="H9" s="8">
        <f>Table113[[#This Row],[Comp E55 Run Hours]]</f>
        <v>0</v>
      </c>
      <c r="I9" s="10">
        <f>Table113456[[#This Row],[DG Milling Run Hours]]</f>
        <v>0</v>
      </c>
      <c r="J9" s="9">
        <f>Table113456[[#This Row],[DG Parboiling 
Run Hours]]</f>
        <v>0</v>
      </c>
      <c r="K9" s="9">
        <f>Table113456[[#This Row],[DG Utility Run Hours]]</f>
        <v>0</v>
      </c>
      <c r="L9" s="9">
        <f>Table113456[[#This Row],[DG Admin Run Hours]]</f>
        <v>0</v>
      </c>
      <c r="M9" s="9">
        <f>Table113[[#This Row],[Comp E75 -1
Rem Hours To Service]]</f>
        <v>1407</v>
      </c>
      <c r="N9" s="9">
        <f>Table113[[#This Row],[Comp E75 -2
Rem Hours To Service]]</f>
        <v>1225</v>
      </c>
      <c r="O9" s="9">
        <f>Table113[[#This Row],[Comp E75 -3
Rem Hours To Service]]</f>
        <v>3028</v>
      </c>
      <c r="P9" s="9">
        <f>Table113[[#This Row],[Comp E55 Rem Hours To Service]]</f>
        <v>989</v>
      </c>
      <c r="Q9" s="9">
        <f>$Y$3-Table113456[[#This Row],[DG Milling Run Hr Meter]]</f>
        <v>131</v>
      </c>
      <c r="R9" s="9">
        <f>Table113456[[#This Row],[DG Parboil REM SERVICE Hr]]</f>
        <v>105.29999999999927</v>
      </c>
      <c r="S9" s="9">
        <f>Table113456[[#This Row],[DG Utility REM SERVICE Hr]]</f>
        <v>205.29999999999927</v>
      </c>
      <c r="T9" s="9">
        <f>Table113456[[#This Row],[DG Admin REM SERVICE Hr]]</f>
        <v>35.800000000000182</v>
      </c>
      <c r="U9" s="9"/>
      <c r="V9" s="9"/>
      <c r="W9" s="9"/>
      <c r="X9" s="9"/>
      <c r="Y9" s="9"/>
      <c r="Z9" s="9"/>
      <c r="AA9" s="9"/>
      <c r="AB9" s="9"/>
      <c r="AC9" s="9"/>
      <c r="AD9" s="9">
        <f>Diesel!I9</f>
        <v>45282</v>
      </c>
    </row>
    <row r="10" spans="1:30" x14ac:dyDescent="0.35">
      <c r="A10" s="32">
        <f>'PowerHouse Data'!$J$1</f>
        <v>46272</v>
      </c>
      <c r="B10" s="16">
        <f>Table113456[[#This Row],[Main Tank
Consumption (Liters)]]</f>
        <v>712</v>
      </c>
      <c r="C10" s="5">
        <f>Table1135[[#This Row],[NEPA Consumption (KWH)]]</f>
        <v>1240</v>
      </c>
      <c r="D10" s="10">
        <f>Table1135[[#This Row],[NEPA Availablity]]</f>
        <v>24</v>
      </c>
      <c r="E10" s="5">
        <f>Table113[[#This Row],[Comp E75 -1
Run Hours]]</f>
        <v>0</v>
      </c>
      <c r="F10" s="8">
        <f>Table113[[#This Row],[Comp E75 -2
Run Hours]]</f>
        <v>0</v>
      </c>
      <c r="G10" s="8">
        <f>Table113[[#This Row],[Comp E75 -3
Run Hours]]</f>
        <v>0</v>
      </c>
      <c r="H10" s="8">
        <f>Table113[[#This Row],[Comp E55 Run Hours]]</f>
        <v>0</v>
      </c>
      <c r="I10" s="10">
        <f>Table113456[[#This Row],[DG Milling Run Hours]]</f>
        <v>0</v>
      </c>
      <c r="J10" s="9">
        <f>Table113456[[#This Row],[DG Parboiling 
Run Hours]]</f>
        <v>0</v>
      </c>
      <c r="K10" s="9">
        <f>Table113456[[#This Row],[DG Utility Run Hours]]</f>
        <v>0</v>
      </c>
      <c r="L10" s="9">
        <f>Table113456[[#This Row],[DG Admin Run Hours]]</f>
        <v>0</v>
      </c>
      <c r="M10" s="9">
        <f>Table113[[#This Row],[Comp E75 -1
Rem Hours To Service]]</f>
        <v>1407</v>
      </c>
      <c r="N10" s="9">
        <f>Table113[[#This Row],[Comp E75 -2
Rem Hours To Service]]</f>
        <v>1225</v>
      </c>
      <c r="O10" s="9">
        <f>Table113[[#This Row],[Comp E75 -3
Rem Hours To Service]]</f>
        <v>3028</v>
      </c>
      <c r="P10" s="9">
        <f>Table113[[#This Row],[Comp E55 Rem Hours To Service]]</f>
        <v>989</v>
      </c>
      <c r="Q10" s="9">
        <f>$Y$3-Table113456[[#This Row],[DG Milling Run Hr Meter]]</f>
        <v>131</v>
      </c>
      <c r="R10" s="9">
        <f>Table113456[[#This Row],[DG Parboil REM SERVICE Hr]]</f>
        <v>105.29999999999927</v>
      </c>
      <c r="S10" s="9">
        <f>Table113456[[#This Row],[DG Utility REM SERVICE Hr]]</f>
        <v>205.29999999999927</v>
      </c>
      <c r="T10" s="9">
        <f>Table113456[[#This Row],[DG Admin REM SERVICE Hr]]</f>
        <v>35.800000000000182</v>
      </c>
      <c r="U10" s="9"/>
      <c r="V10" s="9"/>
      <c r="W10" s="9"/>
      <c r="X10" s="9"/>
      <c r="Y10" s="9"/>
      <c r="Z10" s="9"/>
      <c r="AA10" s="9"/>
      <c r="AB10" s="9"/>
      <c r="AC10" s="9"/>
      <c r="AD10" s="9">
        <f>Diesel!I10</f>
        <v>44570</v>
      </c>
    </row>
    <row r="11" spans="1:30" x14ac:dyDescent="0.35">
      <c r="A11" s="32">
        <f>'PowerHouse Data'!$K$1</f>
        <v>46273</v>
      </c>
      <c r="B11" s="16">
        <f>Table113456[[#This Row],[Main Tank
Consumption (Liters)]]</f>
        <v>312</v>
      </c>
      <c r="C11" s="5">
        <f>Table1135[[#This Row],[NEPA Consumption (KWH)]]</f>
        <v>1040</v>
      </c>
      <c r="D11" s="10">
        <f>Table1135[[#This Row],[NEPA Availablity]]</f>
        <v>18.3</v>
      </c>
      <c r="E11" s="5">
        <f>Table113[[#This Row],[Comp E75 -1
Run Hours]]</f>
        <v>0</v>
      </c>
      <c r="F11" s="8">
        <f>Table113[[#This Row],[Comp E75 -2
Run Hours]]</f>
        <v>0</v>
      </c>
      <c r="G11" s="8">
        <f>Table113[[#This Row],[Comp E75 -3
Run Hours]]</f>
        <v>0</v>
      </c>
      <c r="H11" s="8">
        <f>Table113[[#This Row],[Comp E55 Run Hours]]</f>
        <v>0</v>
      </c>
      <c r="I11" s="10">
        <f>Table113456[[#This Row],[DG Milling Run Hours]]</f>
        <v>5.6999999999998181</v>
      </c>
      <c r="J11" s="9">
        <f>Table113456[[#This Row],[DG Parboiling 
Run Hours]]</f>
        <v>0</v>
      </c>
      <c r="K11" s="9">
        <f>Table113456[[#This Row],[DG Utility Run Hours]]</f>
        <v>0</v>
      </c>
      <c r="L11" s="9">
        <f>Table113456[[#This Row],[DG Admin Run Hours]]</f>
        <v>0</v>
      </c>
      <c r="M11" s="9">
        <f>Table113[[#This Row],[Comp E75 -1
Rem Hours To Service]]</f>
        <v>1407</v>
      </c>
      <c r="N11" s="9">
        <f>Table113[[#This Row],[Comp E75 -2
Rem Hours To Service]]</f>
        <v>1225</v>
      </c>
      <c r="O11" s="9">
        <f>Table113[[#This Row],[Comp E75 -3
Rem Hours To Service]]</f>
        <v>3028</v>
      </c>
      <c r="P11" s="9">
        <f>Table113[[#This Row],[Comp E55 Rem Hours To Service]]</f>
        <v>989</v>
      </c>
      <c r="Q11" s="9">
        <f>$Y$3-Table113456[[#This Row],[DG Milling Run Hr Meter]]</f>
        <v>125.30000000000018</v>
      </c>
      <c r="R11" s="9">
        <f>Table113456[[#This Row],[DG Parboil REM SERVICE Hr]]</f>
        <v>105.29999999999927</v>
      </c>
      <c r="S11" s="9">
        <f>Table113456[[#This Row],[DG Utility REM SERVICE Hr]]</f>
        <v>205.29999999999927</v>
      </c>
      <c r="T11" s="9">
        <f>Table113456[[#This Row],[DG Admin REM SERVICE Hr]]</f>
        <v>35.800000000000182</v>
      </c>
      <c r="U11" s="9"/>
      <c r="V11" s="9"/>
      <c r="W11" s="9"/>
      <c r="X11" s="9"/>
      <c r="Y11" s="9"/>
      <c r="Z11" s="9"/>
      <c r="AA11" s="9"/>
      <c r="AB11" s="9"/>
      <c r="AC11" s="9"/>
      <c r="AD11" s="9">
        <f>Diesel!I11</f>
        <v>44258</v>
      </c>
    </row>
    <row r="12" spans="1:30" x14ac:dyDescent="0.35">
      <c r="A12" s="32">
        <f>'PowerHouse Data'!$L$1</f>
        <v>46274</v>
      </c>
      <c r="B12" s="16">
        <f>Table113456[[#This Row],[Main Tank
Consumption (Liters)]]</f>
        <v>70</v>
      </c>
      <c r="C12" s="5">
        <f>Table1135[[#This Row],[NEPA Consumption (KWH)]]</f>
        <v>1220</v>
      </c>
      <c r="D12" s="10">
        <f>Table1135[[#This Row],[NEPA Availablity]]</f>
        <v>22.4</v>
      </c>
      <c r="E12" s="5">
        <f>Table113[[#This Row],[Comp E75 -1
Run Hours]]</f>
        <v>0</v>
      </c>
      <c r="F12" s="8">
        <f>Table113[[#This Row],[Comp E75 -2
Run Hours]]</f>
        <v>0</v>
      </c>
      <c r="G12" s="8">
        <f>Table113[[#This Row],[Comp E75 -3
Run Hours]]</f>
        <v>0</v>
      </c>
      <c r="H12" s="8">
        <f>Table113[[#This Row],[Comp E55 Run Hours]]</f>
        <v>0</v>
      </c>
      <c r="I12" s="10">
        <f>Table113456[[#This Row],[DG Milling Run Hours]]</f>
        <v>0.9000000000005457</v>
      </c>
      <c r="J12" s="9">
        <f>Table113456[[#This Row],[DG Parboiling 
Run Hours]]</f>
        <v>0</v>
      </c>
      <c r="K12" s="9">
        <f>Table113456[[#This Row],[DG Utility Run Hours]]</f>
        <v>0.7000000000007276</v>
      </c>
      <c r="L12" s="9">
        <f>Table113456[[#This Row],[DG Admin Run Hours]]</f>
        <v>0</v>
      </c>
      <c r="M12" s="9">
        <f>Table113[[#This Row],[Comp E75 -1
Rem Hours To Service]]</f>
        <v>1407</v>
      </c>
      <c r="N12" s="9">
        <f>Table113[[#This Row],[Comp E75 -2
Rem Hours To Service]]</f>
        <v>1225</v>
      </c>
      <c r="O12" s="9">
        <f>Table113[[#This Row],[Comp E75 -3
Rem Hours To Service]]</f>
        <v>3028</v>
      </c>
      <c r="P12" s="9">
        <f>Table113[[#This Row],[Comp E55 Rem Hours To Service]]</f>
        <v>989</v>
      </c>
      <c r="Q12" s="9">
        <f>$Y$3-Table113456[[#This Row],[DG Milling Run Hr Meter]]</f>
        <v>124.39999999999964</v>
      </c>
      <c r="R12" s="9">
        <f>Table113456[[#This Row],[DG Parboil REM SERVICE Hr]]</f>
        <v>105.29999999999927</v>
      </c>
      <c r="S12" s="9">
        <f>Table113456[[#This Row],[DG Utility REM SERVICE Hr]]</f>
        <v>204.59999999999854</v>
      </c>
      <c r="T12" s="9">
        <f>Table113456[[#This Row],[DG Admin REM SERVICE Hr]]</f>
        <v>35.800000000000182</v>
      </c>
      <c r="U12" s="9"/>
      <c r="V12" s="9"/>
      <c r="W12" s="9"/>
      <c r="X12" s="9"/>
      <c r="Y12" s="9"/>
      <c r="Z12" s="9"/>
      <c r="AA12" s="9"/>
      <c r="AB12" s="9"/>
      <c r="AC12" s="9"/>
      <c r="AD12" s="9">
        <f>Diesel!I12</f>
        <v>44188</v>
      </c>
    </row>
    <row r="13" spans="1:30" x14ac:dyDescent="0.35">
      <c r="A13" s="32">
        <f>'PowerHouse Data'!$M$1</f>
        <v>46275</v>
      </c>
      <c r="B13" s="16">
        <f>Table113456[[#This Row],[Main Tank
Consumption (Liters)]]</f>
        <v>175</v>
      </c>
      <c r="C13" s="5">
        <f>Table1135[[#This Row],[NEPA Consumption (KWH)]]</f>
        <v>1020</v>
      </c>
      <c r="D13" s="10">
        <f>Table1135[[#This Row],[NEPA Availablity]]</f>
        <v>20.3</v>
      </c>
      <c r="E13" s="5">
        <f>Table113[[#This Row],[Comp E75 -1
Run Hours]]</f>
        <v>0</v>
      </c>
      <c r="F13" s="8">
        <f>Table113[[#This Row],[Comp E75 -2
Run Hours]]</f>
        <v>0</v>
      </c>
      <c r="G13" s="8">
        <f>Table113[[#This Row],[Comp E75 -3
Run Hours]]</f>
        <v>0</v>
      </c>
      <c r="H13" s="8">
        <f>Table113[[#This Row],[Comp E55 Run Hours]]</f>
        <v>0</v>
      </c>
      <c r="I13" s="10">
        <f>Table113456[[#This Row],[DG Milling Run Hours]]</f>
        <v>2.8999999999996362</v>
      </c>
      <c r="J13" s="9">
        <f>Table113456[[#This Row],[DG Parboiling 
Run Hours]]</f>
        <v>0</v>
      </c>
      <c r="K13" s="9">
        <f>Table113456[[#This Row],[DG Utility Run Hours]]</f>
        <v>0.7999999999992724</v>
      </c>
      <c r="L13" s="9">
        <f>Table113456[[#This Row],[DG Admin Run Hours]]</f>
        <v>0</v>
      </c>
      <c r="M13" s="9">
        <f>Table113[[#This Row],[Comp E75 -1
Rem Hours To Service]]</f>
        <v>1407</v>
      </c>
      <c r="N13" s="9">
        <f>Table113[[#This Row],[Comp E75 -2
Rem Hours To Service]]</f>
        <v>1225</v>
      </c>
      <c r="O13" s="9">
        <f>Table113[[#This Row],[Comp E75 -3
Rem Hours To Service]]</f>
        <v>3028</v>
      </c>
      <c r="P13" s="9">
        <f>Table113[[#This Row],[Comp E55 Rem Hours To Service]]</f>
        <v>989</v>
      </c>
      <c r="Q13" s="9">
        <f>$Y$3-Table113456[[#This Row],[DG Milling Run Hr Meter]]</f>
        <v>121.5</v>
      </c>
      <c r="R13" s="9">
        <f>Table113456[[#This Row],[DG Parboil REM SERVICE Hr]]</f>
        <v>105.29999999999927</v>
      </c>
      <c r="S13" s="9">
        <f>Table113456[[#This Row],[DG Utility REM SERVICE Hr]]</f>
        <v>203.79999999999927</v>
      </c>
      <c r="T13" s="9">
        <f>Table113456[[#This Row],[DG Admin REM SERVICE Hr]]</f>
        <v>35.800000000000182</v>
      </c>
      <c r="U13" s="9"/>
      <c r="V13" s="9"/>
      <c r="W13" s="9"/>
      <c r="X13" s="9"/>
      <c r="Y13" s="9"/>
      <c r="Z13" s="9"/>
      <c r="AA13" s="9"/>
      <c r="AB13" s="9"/>
      <c r="AC13" s="9"/>
      <c r="AD13" s="9">
        <f>Diesel!I13</f>
        <v>44013</v>
      </c>
    </row>
    <row r="14" spans="1:30" x14ac:dyDescent="0.35">
      <c r="A14" s="32">
        <f>'PowerHouse Data'!$N$1</f>
        <v>46276</v>
      </c>
      <c r="B14" s="16">
        <f>Table113456[[#This Row],[Main Tank
Consumption (Liters)]]</f>
        <v>0</v>
      </c>
      <c r="C14" s="5">
        <f>Table1135[[#This Row],[NEPA Consumption (KWH)]]</f>
        <v>1150</v>
      </c>
      <c r="D14" s="10">
        <f>Table1135[[#This Row],[NEPA Availablity]]</f>
        <v>21.7</v>
      </c>
      <c r="E14" s="5">
        <f>Table113[[#This Row],[Comp E75 -1
Run Hours]]</f>
        <v>0</v>
      </c>
      <c r="F14" s="8">
        <f>Table113[[#This Row],[Comp E75 -2
Run Hours]]</f>
        <v>0</v>
      </c>
      <c r="G14" s="8">
        <f>Table113[[#This Row],[Comp E75 -3
Run Hours]]</f>
        <v>0</v>
      </c>
      <c r="H14" s="8">
        <f>Table113[[#This Row],[Comp E55 Run Hours]]</f>
        <v>0</v>
      </c>
      <c r="I14" s="10">
        <f>Table113456[[#This Row],[DG Milling Run Hours]]</f>
        <v>0</v>
      </c>
      <c r="J14" s="9">
        <f>Table113456[[#This Row],[DG Parboiling 
Run Hours]]</f>
        <v>0</v>
      </c>
      <c r="K14" s="9">
        <f>Table113456[[#This Row],[DG Utility Run Hours]]</f>
        <v>2.2999999999992724</v>
      </c>
      <c r="L14" s="9">
        <f>Table113456[[#This Row],[DG Admin Run Hours]]</f>
        <v>0</v>
      </c>
      <c r="M14" s="9">
        <f>Table113[[#This Row],[Comp E75 -1
Rem Hours To Service]]</f>
        <v>1407</v>
      </c>
      <c r="N14" s="9">
        <f>Table113[[#This Row],[Comp E75 -2
Rem Hours To Service]]</f>
        <v>1225</v>
      </c>
      <c r="O14" s="9">
        <f>Table113[[#This Row],[Comp E75 -3
Rem Hours To Service]]</f>
        <v>3028</v>
      </c>
      <c r="P14" s="9">
        <f>Table113[[#This Row],[Comp E55 Rem Hours To Service]]</f>
        <v>989</v>
      </c>
      <c r="Q14" s="9">
        <f>$Y$3-Table113456[[#This Row],[DG Milling Run Hr Meter]]</f>
        <v>121.5</v>
      </c>
      <c r="R14" s="9">
        <f>Table113456[[#This Row],[DG Parboil REM SERVICE Hr]]</f>
        <v>105.29999999999927</v>
      </c>
      <c r="S14" s="9">
        <f>Table113456[[#This Row],[DG Utility REM SERVICE Hr]]</f>
        <v>201.5</v>
      </c>
      <c r="T14" s="9">
        <f>Table113456[[#This Row],[DG Admin REM SERVICE Hr]]</f>
        <v>35.800000000000182</v>
      </c>
      <c r="U14" s="9"/>
      <c r="V14" s="9"/>
      <c r="W14" s="9"/>
      <c r="X14" s="9"/>
      <c r="Y14" s="9"/>
      <c r="Z14" s="9"/>
      <c r="AA14" s="9"/>
      <c r="AB14" s="9"/>
      <c r="AC14" s="9"/>
      <c r="AD14" s="9">
        <f>Diesel!I14</f>
        <v>44013</v>
      </c>
    </row>
    <row r="15" spans="1:30" x14ac:dyDescent="0.35">
      <c r="A15" s="32">
        <f>'PowerHouse Data'!$O$1</f>
        <v>46277</v>
      </c>
      <c r="B15" s="16">
        <f>Table113456[[#This Row],[Main Tank
Consumption (Liters)]]</f>
        <v>0</v>
      </c>
      <c r="C15" s="5">
        <f>Table1135[[#This Row],[NEPA Consumption (KWH)]]</f>
        <v>1070</v>
      </c>
      <c r="D15" s="10">
        <f>Table1135[[#This Row],[NEPA Availablity]]</f>
        <v>22.7</v>
      </c>
      <c r="E15" s="5">
        <f>Table113[[#This Row],[Comp E75 -1
Run Hours]]</f>
        <v>0</v>
      </c>
      <c r="F15" s="8">
        <f>Table113[[#This Row],[Comp E75 -2
Run Hours]]</f>
        <v>0</v>
      </c>
      <c r="G15" s="8">
        <f>Table113[[#This Row],[Comp E75 -3
Run Hours]]</f>
        <v>0</v>
      </c>
      <c r="H15" s="8">
        <f>Table113[[#This Row],[Comp E55 Run Hours]]</f>
        <v>0</v>
      </c>
      <c r="I15" s="10">
        <f>Table113456[[#This Row],[DG Milling Run Hours]]</f>
        <v>0</v>
      </c>
      <c r="J15" s="9">
        <f>Table113456[[#This Row],[DG Parboiling 
Run Hours]]</f>
        <v>0</v>
      </c>
      <c r="K15" s="9">
        <f>Table113456[[#This Row],[DG Utility Run Hours]]</f>
        <v>1.2999999999992724</v>
      </c>
      <c r="L15" s="9">
        <f>Table113456[[#This Row],[DG Admin Run Hours]]</f>
        <v>0</v>
      </c>
      <c r="M15" s="9">
        <f>Table113[[#This Row],[Comp E75 -1
Rem Hours To Service]]</f>
        <v>1407</v>
      </c>
      <c r="N15" s="9">
        <f>Table113[[#This Row],[Comp E75 -2
Rem Hours To Service]]</f>
        <v>1225</v>
      </c>
      <c r="O15" s="9">
        <f>Table113[[#This Row],[Comp E75 -3
Rem Hours To Service]]</f>
        <v>3028</v>
      </c>
      <c r="P15" s="9">
        <f>Table113[[#This Row],[Comp E55 Rem Hours To Service]]</f>
        <v>989</v>
      </c>
      <c r="Q15" s="9">
        <f>$Y$3-Table113456[[#This Row],[DG Milling Run Hr Meter]]</f>
        <v>121.5</v>
      </c>
      <c r="R15" s="9">
        <f>Table113456[[#This Row],[DG Parboil REM SERVICE Hr]]</f>
        <v>105.29999999999927</v>
      </c>
      <c r="S15" s="9">
        <f>Table113456[[#This Row],[DG Utility REM SERVICE Hr]]</f>
        <v>200.20000000000073</v>
      </c>
      <c r="T15" s="9">
        <f>Table113456[[#This Row],[DG Admin REM SERVICE Hr]]</f>
        <v>35.800000000000182</v>
      </c>
      <c r="U15" s="9"/>
      <c r="V15" s="9"/>
      <c r="W15" s="9"/>
      <c r="X15" s="9"/>
      <c r="Y15" s="9"/>
      <c r="Z15" s="9"/>
      <c r="AA15" s="9"/>
      <c r="AB15" s="9"/>
      <c r="AC15" s="9"/>
      <c r="AD15" s="9">
        <f>Diesel!I15</f>
        <v>43947</v>
      </c>
    </row>
    <row r="16" spans="1:30" x14ac:dyDescent="0.35">
      <c r="A16" s="32">
        <f>'PowerHouse Data'!$P$1</f>
        <v>46278</v>
      </c>
      <c r="B16" s="16">
        <f>Table113456[[#This Row],[Main Tank
Consumption (Liters)]]</f>
        <v>0</v>
      </c>
      <c r="C16" s="5">
        <f>Table1135[[#This Row],[NEPA Consumption (KWH)]]</f>
        <v>990</v>
      </c>
      <c r="D16" s="10">
        <f>Table1135[[#This Row],[NEPA Availablity]]</f>
        <v>24</v>
      </c>
      <c r="E16" s="5">
        <f>Table113[[#This Row],[Comp E75 -1
Run Hours]]</f>
        <v>0</v>
      </c>
      <c r="F16" s="8">
        <f>Table113[[#This Row],[Comp E75 -2
Run Hours]]</f>
        <v>0</v>
      </c>
      <c r="G16" s="8">
        <f>Table113[[#This Row],[Comp E75 -3
Run Hours]]</f>
        <v>0</v>
      </c>
      <c r="H16" s="8">
        <f>Table113[[#This Row],[Comp E55 Run Hours]]</f>
        <v>0</v>
      </c>
      <c r="I16" s="10">
        <f>Table113456[[#This Row],[DG Milling Run Hours]]</f>
        <v>0</v>
      </c>
      <c r="J16" s="9">
        <f>Table113456[[#This Row],[DG Parboiling 
Run Hours]]</f>
        <v>0</v>
      </c>
      <c r="K16" s="9">
        <f>Table113456[[#This Row],[DG Utility Run Hours]]</f>
        <v>0</v>
      </c>
      <c r="L16" s="9">
        <f>Table113456[[#This Row],[DG Admin Run Hours]]</f>
        <v>0</v>
      </c>
      <c r="M16" s="9">
        <f>Table113[[#This Row],[Comp E75 -1
Rem Hours To Service]]</f>
        <v>1407</v>
      </c>
      <c r="N16" s="9">
        <f>Table113[[#This Row],[Comp E75 -2
Rem Hours To Service]]</f>
        <v>1225</v>
      </c>
      <c r="O16" s="9">
        <f>Table113[[#This Row],[Comp E75 -3
Rem Hours To Service]]</f>
        <v>3028</v>
      </c>
      <c r="P16" s="9">
        <f>Table113[[#This Row],[Comp E55 Rem Hours To Service]]</f>
        <v>989</v>
      </c>
      <c r="Q16" s="9">
        <f>$Y$3-Table113456[[#This Row],[DG Milling Run Hr Meter]]</f>
        <v>121.5</v>
      </c>
      <c r="R16" s="9">
        <f>Table113456[[#This Row],[DG Parboil REM SERVICE Hr]]</f>
        <v>105.29999999999927</v>
      </c>
      <c r="S16" s="9">
        <f>Table113456[[#This Row],[DG Utility REM SERVICE Hr]]</f>
        <v>200.20000000000073</v>
      </c>
      <c r="T16" s="9">
        <f>Table113456[[#This Row],[DG Admin REM SERVICE Hr]]</f>
        <v>35.800000000000182</v>
      </c>
      <c r="U16" s="9"/>
      <c r="V16" s="9"/>
      <c r="W16" s="9"/>
      <c r="X16" s="9"/>
      <c r="Y16" s="9"/>
      <c r="Z16" s="9"/>
      <c r="AA16" s="9"/>
      <c r="AB16" s="9"/>
      <c r="AC16" s="9"/>
      <c r="AD16" s="9">
        <f>Diesel!I16</f>
        <v>43947</v>
      </c>
    </row>
    <row r="17" spans="1:30" x14ac:dyDescent="0.35">
      <c r="A17" s="32">
        <f>'PowerHouse Data'!$Q$1</f>
        <v>46279</v>
      </c>
      <c r="B17" s="16">
        <f>Table113456[[#This Row],[Main Tank
Consumption (Liters)]]</f>
        <v>0</v>
      </c>
      <c r="C17" s="5">
        <f>Table1135[[#This Row],[NEPA Consumption (KWH)]]</f>
        <v>1070</v>
      </c>
      <c r="D17" s="10">
        <f>Table1135[[#This Row],[NEPA Availablity]]</f>
        <v>22.7</v>
      </c>
      <c r="E17" s="5">
        <f>Table113[[#This Row],[Comp E75 -1
Run Hours]]</f>
        <v>0</v>
      </c>
      <c r="F17" s="8">
        <f>Table113[[#This Row],[Comp E75 -2
Run Hours]]</f>
        <v>0</v>
      </c>
      <c r="G17" s="8">
        <f>Table113[[#This Row],[Comp E75 -3
Run Hours]]</f>
        <v>0</v>
      </c>
      <c r="H17" s="8">
        <f>Table113[[#This Row],[Comp E55 Run Hours]]</f>
        <v>0</v>
      </c>
      <c r="I17" s="10">
        <f>Table113456[[#This Row],[DG Milling Run Hours]]</f>
        <v>0</v>
      </c>
      <c r="J17" s="9">
        <f>Table113456[[#This Row],[DG Parboiling 
Run Hours]]</f>
        <v>0</v>
      </c>
      <c r="K17" s="9">
        <f>Table113456[[#This Row],[DG Utility Run Hours]]</f>
        <v>1.2999999999992724</v>
      </c>
      <c r="L17" s="9">
        <f>Table113456[[#This Row],[DG Admin Run Hours]]</f>
        <v>0</v>
      </c>
      <c r="M17" s="9">
        <f>Table113[[#This Row],[Comp E75 -1
Rem Hours To Service]]</f>
        <v>1407</v>
      </c>
      <c r="N17" s="9">
        <f>Table113[[#This Row],[Comp E75 -2
Rem Hours To Service]]</f>
        <v>1225</v>
      </c>
      <c r="O17" s="9">
        <f>Table113[[#This Row],[Comp E75 -3
Rem Hours To Service]]</f>
        <v>3028</v>
      </c>
      <c r="P17" s="9">
        <f>Table113[[#This Row],[Comp E55 Rem Hours To Service]]</f>
        <v>989</v>
      </c>
      <c r="Q17" s="9">
        <f>$Y$3-Table113456[[#This Row],[DG Milling Run Hr Meter]]</f>
        <v>121.5</v>
      </c>
      <c r="R17" s="9">
        <f>Table113456[[#This Row],[DG Parboil REM SERVICE Hr]]</f>
        <v>105.29999999999927</v>
      </c>
      <c r="S17" s="9">
        <f>Table113456[[#This Row],[DG Utility REM SERVICE Hr]]</f>
        <v>198.90000000000146</v>
      </c>
      <c r="T17" s="9">
        <f>Table113456[[#This Row],[DG Admin REM SERVICE Hr]]</f>
        <v>35.800000000000182</v>
      </c>
      <c r="U17" s="9"/>
      <c r="V17" s="9"/>
      <c r="W17" s="9"/>
      <c r="X17" s="9"/>
      <c r="Y17" s="9"/>
      <c r="Z17" s="9"/>
      <c r="AA17" s="9"/>
      <c r="AB17" s="9"/>
      <c r="AC17" s="9"/>
      <c r="AD17" s="9">
        <f>Diesel!I17</f>
        <v>43937</v>
      </c>
    </row>
    <row r="18" spans="1:30" x14ac:dyDescent="0.35">
      <c r="A18" s="32">
        <f>'PowerHouse Data'!$R$1</f>
        <v>46280</v>
      </c>
      <c r="B18" s="16">
        <f>Table113456[[#This Row],[Main Tank
Consumption (Liters)]]</f>
        <v>353.5</v>
      </c>
      <c r="C18" s="5">
        <f>Table1135[[#This Row],[NEPA Consumption (KWH)]]</f>
        <v>740</v>
      </c>
      <c r="D18" s="10">
        <f>Table1135[[#This Row],[NEPA Availablity]]</f>
        <v>18</v>
      </c>
      <c r="E18" s="5">
        <f>Table113[[#This Row],[Comp E75 -1
Run Hours]]</f>
        <v>0</v>
      </c>
      <c r="F18" s="8">
        <f>Table113[[#This Row],[Comp E75 -2
Run Hours]]</f>
        <v>0</v>
      </c>
      <c r="G18" s="8">
        <f>Table113[[#This Row],[Comp E75 -3
Run Hours]]</f>
        <v>0</v>
      </c>
      <c r="H18" s="8">
        <f>Table113[[#This Row],[Comp E55 Run Hours]]</f>
        <v>0</v>
      </c>
      <c r="I18" s="10">
        <f>Table113456[[#This Row],[DG Milling Run Hours]]</f>
        <v>0</v>
      </c>
      <c r="J18" s="9">
        <f>Table113456[[#This Row],[DG Parboiling 
Run Hours]]</f>
        <v>0</v>
      </c>
      <c r="K18" s="9">
        <f>Table113456[[#This Row],[DG Utility Run Hours]]</f>
        <v>5.9000000000014552</v>
      </c>
      <c r="L18" s="9">
        <f>Table113456[[#This Row],[DG Admin Run Hours]]</f>
        <v>0</v>
      </c>
      <c r="M18" s="9">
        <f>Table113[[#This Row],[Comp E75 -1
Rem Hours To Service]]</f>
        <v>1407</v>
      </c>
      <c r="N18" s="9">
        <f>Table113[[#This Row],[Comp E75 -2
Rem Hours To Service]]</f>
        <v>1225</v>
      </c>
      <c r="O18" s="9">
        <f>Table113[[#This Row],[Comp E75 -3
Rem Hours To Service]]</f>
        <v>3028</v>
      </c>
      <c r="P18" s="9">
        <f>Table113[[#This Row],[Comp E55 Rem Hours To Service]]</f>
        <v>989</v>
      </c>
      <c r="Q18" s="9">
        <f>$Y$3-Table113456[[#This Row],[DG Milling Run Hr Meter]]</f>
        <v>121.5</v>
      </c>
      <c r="R18" s="9">
        <f>Table113456[[#This Row],[DG Parboil REM SERVICE Hr]]</f>
        <v>105.29999999999927</v>
      </c>
      <c r="S18" s="9">
        <f>Table113456[[#This Row],[DG Utility REM SERVICE Hr]]</f>
        <v>193</v>
      </c>
      <c r="T18" s="9">
        <f>Table113456[[#This Row],[DG Admin REM SERVICE Hr]]</f>
        <v>35.800000000000182</v>
      </c>
      <c r="U18" s="9"/>
      <c r="V18" s="9"/>
      <c r="W18" s="9"/>
      <c r="X18" s="9"/>
      <c r="Y18" s="9"/>
      <c r="Z18" s="9"/>
      <c r="AA18" s="9"/>
      <c r="AB18" s="9"/>
      <c r="AC18" s="9"/>
      <c r="AD18" s="9">
        <f>Diesel!I18</f>
        <v>43659.5</v>
      </c>
    </row>
    <row r="19" spans="1:30" x14ac:dyDescent="0.35">
      <c r="A19" s="32">
        <f>'PowerHouse Data'!$S$1</f>
        <v>46281</v>
      </c>
      <c r="B19" s="16">
        <f>Table113456[[#This Row],[Main Tank
Consumption (Liters)]]</f>
        <v>38475.5</v>
      </c>
      <c r="C19" s="5">
        <f>Table1135[[#This Row],[NEPA Consumption (KWH)]]</f>
        <v>-24340840</v>
      </c>
      <c r="D19" s="10">
        <f>Table1135[[#This Row],[NEPA Availablity]]</f>
        <v>0</v>
      </c>
      <c r="E19" s="5">
        <f>Table113[[#This Row],[Comp E75 -1
Run Hours]]</f>
        <v>-4033</v>
      </c>
      <c r="F19" s="8">
        <f>Table113[[#This Row],[Comp E75 -2
Run Hours]]</f>
        <v>-6841</v>
      </c>
      <c r="G19" s="8">
        <f>Table113[[#This Row],[Comp E75 -3
Run Hours]]</f>
        <v>-972</v>
      </c>
      <c r="H19" s="8">
        <f>Table113[[#This Row],[Comp E55 Run Hours]]</f>
        <v>-25941</v>
      </c>
      <c r="I19" s="10">
        <f>Table113456[[#This Row],[DG Milling Run Hours]]</f>
        <v>-5702.5</v>
      </c>
      <c r="J19" s="9">
        <f>Table113456[[#This Row],[DG Parboiling 
Run Hours]]</f>
        <v>-12538.2</v>
      </c>
      <c r="K19" s="9">
        <f>Table113456[[#This Row],[DG Utility Run Hours]]</f>
        <v>-30957</v>
      </c>
      <c r="L19" s="9">
        <f>Table113456[[#This Row],[DG Admin Run Hours]]</f>
        <v>-3504.2</v>
      </c>
      <c r="M19" s="9">
        <f>Table113[[#This Row],[Comp E75 -1
Rem Hours To Service]]</f>
        <v>5440</v>
      </c>
      <c r="N19" s="9">
        <f>Table113[[#This Row],[Comp E75 -2
Rem Hours To Service]]</f>
        <v>8066</v>
      </c>
      <c r="O19" s="9">
        <f>Table113[[#This Row],[Comp E75 -3
Rem Hours To Service]]</f>
        <v>4000</v>
      </c>
      <c r="P19" s="9">
        <f>Table113[[#This Row],[Comp E55 Rem Hours To Service]]</f>
        <v>26930</v>
      </c>
      <c r="Q19" s="9">
        <f>$Y$3-Table113456[[#This Row],[DG Milling Run Hr Meter]]</f>
        <v>5824</v>
      </c>
      <c r="R19" s="9">
        <f>Table113456[[#This Row],[DG Parboil REM SERVICE Hr]]</f>
        <v>12643.5</v>
      </c>
      <c r="S19" s="9">
        <f>Table113456[[#This Row],[DG Utility REM SERVICE Hr]]</f>
        <v>31150</v>
      </c>
      <c r="T19" s="9">
        <f>Table113456[[#This Row],[DG Admin REM SERVICE Hr]]</f>
        <v>3540</v>
      </c>
      <c r="U19" s="9"/>
      <c r="V19" s="9"/>
      <c r="W19" s="9"/>
      <c r="X19" s="9"/>
      <c r="Y19" s="9"/>
      <c r="Z19" s="9"/>
      <c r="AA19" s="9"/>
      <c r="AB19" s="9"/>
      <c r="AC19" s="9"/>
      <c r="AD19" s="9">
        <f>Diesel!I19</f>
        <v>0</v>
      </c>
    </row>
    <row r="20" spans="1:30" x14ac:dyDescent="0.35">
      <c r="A20" s="32">
        <f>'PowerHouse Data'!$T$1</f>
        <v>46282</v>
      </c>
      <c r="B20" s="16">
        <f>Table113456[[#This Row],[Main Tank
Consumption (Liters)]]</f>
        <v>0</v>
      </c>
      <c r="C20" s="5">
        <f>Table1135[[#This Row],[NEPA Consumption (KWH)]]</f>
        <v>0</v>
      </c>
      <c r="D20" s="10">
        <f>Table1135[[#This Row],[NEPA Availablity]]</f>
        <v>0</v>
      </c>
      <c r="E20" s="5">
        <f>Table113[[#This Row],[Comp E75 -1
Run Hours]]</f>
        <v>0</v>
      </c>
      <c r="F20" s="8">
        <f>Table113[[#This Row],[Comp E75 -2
Run Hours]]</f>
        <v>0</v>
      </c>
      <c r="G20" s="8">
        <f>Table113[[#This Row],[Comp E75 -3
Run Hours]]</f>
        <v>0</v>
      </c>
      <c r="H20" s="8">
        <f>Table113[[#This Row],[Comp E55 Run Hours]]</f>
        <v>0</v>
      </c>
      <c r="I20" s="10">
        <f>Table113456[[#This Row],[DG Milling Run Hours]]</f>
        <v>0</v>
      </c>
      <c r="J20" s="9">
        <f>Table113456[[#This Row],[DG Parboiling 
Run Hours]]</f>
        <v>0</v>
      </c>
      <c r="K20" s="9">
        <f>Table113456[[#This Row],[DG Utility Run Hours]]</f>
        <v>0</v>
      </c>
      <c r="L20" s="9">
        <f>Table113456[[#This Row],[DG Admin Run Hours]]</f>
        <v>0</v>
      </c>
      <c r="M20" s="9">
        <f>Table113[[#This Row],[Comp E75 -1
Rem Hours To Service]]</f>
        <v>5440</v>
      </c>
      <c r="N20" s="9">
        <f>Table113[[#This Row],[Comp E75 -2
Rem Hours To Service]]</f>
        <v>8066</v>
      </c>
      <c r="O20" s="9">
        <f>Table113[[#This Row],[Comp E75 -3
Rem Hours To Service]]</f>
        <v>4000</v>
      </c>
      <c r="P20" s="9">
        <f>Table113[[#This Row],[Comp E55 Rem Hours To Service]]</f>
        <v>26930</v>
      </c>
      <c r="Q20" s="9">
        <f>$Y$3-Table113456[[#This Row],[DG Milling Run Hr Meter]]</f>
        <v>5824</v>
      </c>
      <c r="R20" s="9">
        <f>Table113456[[#This Row],[DG Parboil REM SERVICE Hr]]</f>
        <v>12643.5</v>
      </c>
      <c r="S20" s="9">
        <f>Table113456[[#This Row],[DG Utility REM SERVICE Hr]]</f>
        <v>31150</v>
      </c>
      <c r="T20" s="9">
        <f>Table113456[[#This Row],[DG Admin REM SERVICE Hr]]</f>
        <v>3540</v>
      </c>
      <c r="U20" s="9"/>
      <c r="V20" s="9"/>
      <c r="W20" s="9"/>
      <c r="X20" s="9"/>
      <c r="Y20" s="9"/>
      <c r="Z20" s="9"/>
      <c r="AA20" s="9"/>
      <c r="AB20" s="9"/>
      <c r="AC20" s="9"/>
      <c r="AD20" s="9">
        <f>Diesel!I20</f>
        <v>0</v>
      </c>
    </row>
    <row r="21" spans="1:30" x14ac:dyDescent="0.35">
      <c r="A21" s="32">
        <f>'PowerHouse Data'!$U$1</f>
        <v>46283</v>
      </c>
      <c r="B21" s="16">
        <f>Table113456[[#This Row],[Main Tank
Consumption (Liters)]]</f>
        <v>0</v>
      </c>
      <c r="C21" s="5">
        <f>Table1135[[#This Row],[NEPA Consumption (KWH)]]</f>
        <v>0</v>
      </c>
      <c r="D21" s="10">
        <f>Table1135[[#This Row],[NEPA Availablity]]</f>
        <v>0</v>
      </c>
      <c r="E21" s="5">
        <f>Table113[[#This Row],[Comp E75 -1
Run Hours]]</f>
        <v>0</v>
      </c>
      <c r="F21" s="8">
        <f>Table113[[#This Row],[Comp E75 -2
Run Hours]]</f>
        <v>0</v>
      </c>
      <c r="G21" s="8">
        <f>Table113[[#This Row],[Comp E75 -3
Run Hours]]</f>
        <v>0</v>
      </c>
      <c r="H21" s="8">
        <f>Table113[[#This Row],[Comp E55 Run Hours]]</f>
        <v>0</v>
      </c>
      <c r="I21" s="10">
        <f>Table113456[[#This Row],[DG Milling Run Hours]]</f>
        <v>0</v>
      </c>
      <c r="J21" s="9">
        <f>Table113456[[#This Row],[DG Parboiling 
Run Hours]]</f>
        <v>0</v>
      </c>
      <c r="K21" s="9">
        <f>Table113456[[#This Row],[DG Utility Run Hours]]</f>
        <v>0</v>
      </c>
      <c r="L21" s="9">
        <f>Table113456[[#This Row],[DG Admin Run Hours]]</f>
        <v>0</v>
      </c>
      <c r="M21" s="9">
        <f>Table113[[#This Row],[Comp E75 -1
Rem Hours To Service]]</f>
        <v>5440</v>
      </c>
      <c r="N21" s="9">
        <f>Table113[[#This Row],[Comp E75 -2
Rem Hours To Service]]</f>
        <v>8066</v>
      </c>
      <c r="O21" s="9">
        <f>Table113[[#This Row],[Comp E75 -3
Rem Hours To Service]]</f>
        <v>4000</v>
      </c>
      <c r="P21" s="9">
        <f>Table113[[#This Row],[Comp E55 Rem Hours To Service]]</f>
        <v>26930</v>
      </c>
      <c r="Q21" s="9">
        <f>$Y$3-Table113456[[#This Row],[DG Milling Run Hr Meter]]</f>
        <v>5824</v>
      </c>
      <c r="R21" s="9">
        <f>Table113456[[#This Row],[DG Parboil REM SERVICE Hr]]</f>
        <v>12643.5</v>
      </c>
      <c r="S21" s="9">
        <f>Table113456[[#This Row],[DG Utility REM SERVICE Hr]]</f>
        <v>31150</v>
      </c>
      <c r="T21" s="9">
        <f>Table113456[[#This Row],[DG Admin REM SERVICE Hr]]</f>
        <v>3540</v>
      </c>
      <c r="U21" s="9"/>
      <c r="V21" s="9"/>
      <c r="W21" s="9"/>
      <c r="X21" s="9"/>
      <c r="Y21" s="9"/>
      <c r="Z21" s="9"/>
      <c r="AA21" s="9"/>
      <c r="AB21" s="9"/>
      <c r="AC21" s="9"/>
      <c r="AD21" s="9">
        <f>Diesel!I21</f>
        <v>0</v>
      </c>
    </row>
    <row r="22" spans="1:30" x14ac:dyDescent="0.35">
      <c r="A22" s="32">
        <f>'PowerHouse Data'!$V$1</f>
        <v>46284</v>
      </c>
      <c r="B22" s="16">
        <f>Table113456[[#This Row],[Main Tank
Consumption (Liters)]]</f>
        <v>0</v>
      </c>
      <c r="C22" s="5">
        <f>Table1135[[#This Row],[NEPA Consumption (KWH)]]</f>
        <v>0</v>
      </c>
      <c r="D22" s="10">
        <f>Table1135[[#This Row],[NEPA Availablity]]</f>
        <v>0</v>
      </c>
      <c r="E22" s="5">
        <f>Table113[[#This Row],[Comp E75 -1
Run Hours]]</f>
        <v>0</v>
      </c>
      <c r="F22" s="8">
        <f>Table113[[#This Row],[Comp E75 -2
Run Hours]]</f>
        <v>0</v>
      </c>
      <c r="G22" s="8">
        <f>Table113[[#This Row],[Comp E75 -3
Run Hours]]</f>
        <v>0</v>
      </c>
      <c r="H22" s="8">
        <f>Table113[[#This Row],[Comp E55 Run Hours]]</f>
        <v>0</v>
      </c>
      <c r="I22" s="10">
        <f>Table113456[[#This Row],[DG Milling Run Hours]]</f>
        <v>0</v>
      </c>
      <c r="J22" s="9">
        <f>Table113456[[#This Row],[DG Parboiling 
Run Hours]]</f>
        <v>0</v>
      </c>
      <c r="K22" s="9">
        <f>Table113456[[#This Row],[DG Utility Run Hours]]</f>
        <v>0</v>
      </c>
      <c r="L22" s="9">
        <f>Table113456[[#This Row],[DG Admin Run Hours]]</f>
        <v>0</v>
      </c>
      <c r="M22" s="9">
        <f>Table113[[#This Row],[Comp E75 -1
Rem Hours To Service]]</f>
        <v>5440</v>
      </c>
      <c r="N22" s="9">
        <f>Table113[[#This Row],[Comp E75 -2
Rem Hours To Service]]</f>
        <v>8066</v>
      </c>
      <c r="O22" s="9">
        <f>Table113[[#This Row],[Comp E75 -3
Rem Hours To Service]]</f>
        <v>4000</v>
      </c>
      <c r="P22" s="9">
        <f>Table113[[#This Row],[Comp E55 Rem Hours To Service]]</f>
        <v>26930</v>
      </c>
      <c r="Q22" s="9">
        <f>$Y$3-Table113456[[#This Row],[DG Milling Run Hr Meter]]</f>
        <v>5824</v>
      </c>
      <c r="R22" s="9">
        <f>Table113456[[#This Row],[DG Parboil REM SERVICE Hr]]</f>
        <v>12643.5</v>
      </c>
      <c r="S22" s="9">
        <f>Table113456[[#This Row],[DG Utility REM SERVICE Hr]]</f>
        <v>31150</v>
      </c>
      <c r="T22" s="9">
        <f>Table113456[[#This Row],[DG Admin REM SERVICE Hr]]</f>
        <v>3540</v>
      </c>
      <c r="U22" s="9"/>
      <c r="V22" s="9"/>
      <c r="W22" s="9"/>
      <c r="X22" s="9"/>
      <c r="Y22" s="9"/>
      <c r="Z22" s="9"/>
      <c r="AA22" s="9"/>
      <c r="AB22" s="9"/>
      <c r="AC22" s="9"/>
      <c r="AD22" s="9">
        <f>Diesel!I22</f>
        <v>0</v>
      </c>
    </row>
    <row r="23" spans="1:30" x14ac:dyDescent="0.35">
      <c r="A23" s="32">
        <f>'PowerHouse Data'!$W$1</f>
        <v>46285</v>
      </c>
      <c r="B23" s="16">
        <f>Table113456[[#This Row],[Main Tank
Consumption (Liters)]]</f>
        <v>0</v>
      </c>
      <c r="C23" s="5">
        <f>Table1135[[#This Row],[NEPA Consumption (KWH)]]</f>
        <v>0</v>
      </c>
      <c r="D23" s="10">
        <f>Table1135[[#This Row],[NEPA Availablity]]</f>
        <v>0</v>
      </c>
      <c r="E23" s="5">
        <f>Table113[[#This Row],[Comp E75 -1
Run Hours]]</f>
        <v>0</v>
      </c>
      <c r="F23" s="8">
        <f>Table113[[#This Row],[Comp E75 -2
Run Hours]]</f>
        <v>0</v>
      </c>
      <c r="G23" s="8">
        <f>Table113[[#This Row],[Comp E75 -3
Run Hours]]</f>
        <v>0</v>
      </c>
      <c r="H23" s="8">
        <f>Table113[[#This Row],[Comp E55 Run Hours]]</f>
        <v>0</v>
      </c>
      <c r="I23" s="10">
        <f>Table113456[[#This Row],[DG Milling Run Hours]]</f>
        <v>0</v>
      </c>
      <c r="J23" s="9">
        <f>Table113456[[#This Row],[DG Parboiling 
Run Hours]]</f>
        <v>0</v>
      </c>
      <c r="K23" s="9">
        <f>Table113456[[#This Row],[DG Utility Run Hours]]</f>
        <v>0</v>
      </c>
      <c r="L23" s="9">
        <f>Table113456[[#This Row],[DG Admin Run Hours]]</f>
        <v>0</v>
      </c>
      <c r="M23" s="9">
        <f>Table113[[#This Row],[Comp E75 -1
Rem Hours To Service]]</f>
        <v>5440</v>
      </c>
      <c r="N23" s="9">
        <f>Table113[[#This Row],[Comp E75 -2
Rem Hours To Service]]</f>
        <v>8066</v>
      </c>
      <c r="O23" s="9">
        <f>Table113[[#This Row],[Comp E75 -3
Rem Hours To Service]]</f>
        <v>4000</v>
      </c>
      <c r="P23" s="9">
        <f>Table113[[#This Row],[Comp E55 Rem Hours To Service]]</f>
        <v>26930</v>
      </c>
      <c r="Q23" s="9">
        <f>$Y$3-Table113456[[#This Row],[DG Milling Run Hr Meter]]</f>
        <v>5824</v>
      </c>
      <c r="R23" s="9">
        <f>Table113456[[#This Row],[DG Parboil REM SERVICE Hr]]</f>
        <v>12643.5</v>
      </c>
      <c r="S23" s="9">
        <f>Table113456[[#This Row],[DG Utility REM SERVICE Hr]]</f>
        <v>31150</v>
      </c>
      <c r="T23" s="9">
        <f>Table113456[[#This Row],[DG Admin REM SERVICE Hr]]</f>
        <v>3540</v>
      </c>
      <c r="U23" s="9"/>
      <c r="V23" s="9"/>
      <c r="W23" s="9"/>
      <c r="X23" s="9"/>
      <c r="Y23" s="9"/>
      <c r="Z23" s="9"/>
      <c r="AA23" s="9"/>
      <c r="AB23" s="9"/>
      <c r="AC23" s="9"/>
      <c r="AD23" s="9">
        <f>Diesel!I23</f>
        <v>0</v>
      </c>
    </row>
    <row r="24" spans="1:30" x14ac:dyDescent="0.35">
      <c r="A24" s="32">
        <f>'PowerHouse Data'!$X$1</f>
        <v>46286</v>
      </c>
      <c r="B24" s="16">
        <f>Table113456[[#This Row],[Main Tank
Consumption (Liters)]]</f>
        <v>0</v>
      </c>
      <c r="C24" s="5">
        <f>Table1135[[#This Row],[NEPA Consumption (KWH)]]</f>
        <v>0</v>
      </c>
      <c r="D24" s="10">
        <f>Table1135[[#This Row],[NEPA Availablity]]</f>
        <v>0</v>
      </c>
      <c r="E24" s="5">
        <f>Table113[[#This Row],[Comp E75 -1
Run Hours]]</f>
        <v>0</v>
      </c>
      <c r="F24" s="8">
        <f>Table113[[#This Row],[Comp E75 -2
Run Hours]]</f>
        <v>0</v>
      </c>
      <c r="G24" s="8">
        <f>Table113[[#This Row],[Comp E75 -3
Run Hours]]</f>
        <v>0</v>
      </c>
      <c r="H24" s="8">
        <f>Table113[[#This Row],[Comp E55 Run Hours]]</f>
        <v>0</v>
      </c>
      <c r="I24" s="10">
        <f>Table113456[[#This Row],[DG Milling Run Hours]]</f>
        <v>0</v>
      </c>
      <c r="J24" s="9">
        <f>Table113456[[#This Row],[DG Parboiling 
Run Hours]]</f>
        <v>0</v>
      </c>
      <c r="K24" s="9">
        <f>Table113456[[#This Row],[DG Utility Run Hours]]</f>
        <v>0</v>
      </c>
      <c r="L24" s="9">
        <f>Table113456[[#This Row],[DG Admin Run Hours]]</f>
        <v>0</v>
      </c>
      <c r="M24" s="9">
        <f>Table113[[#This Row],[Comp E75 -1
Rem Hours To Service]]</f>
        <v>5440</v>
      </c>
      <c r="N24" s="9">
        <f>Table113[[#This Row],[Comp E75 -2
Rem Hours To Service]]</f>
        <v>8066</v>
      </c>
      <c r="O24" s="9">
        <f>Table113[[#This Row],[Comp E75 -3
Rem Hours To Service]]</f>
        <v>4000</v>
      </c>
      <c r="P24" s="9">
        <f>Table113[[#This Row],[Comp E55 Rem Hours To Service]]</f>
        <v>26930</v>
      </c>
      <c r="Q24" s="9">
        <f>$Y$3-Table113456[[#This Row],[DG Milling Run Hr Meter]]</f>
        <v>5824</v>
      </c>
      <c r="R24" s="9">
        <f>Table113456[[#This Row],[DG Parboil REM SERVICE Hr]]</f>
        <v>12643.5</v>
      </c>
      <c r="S24" s="9">
        <f>Table113456[[#This Row],[DG Utility REM SERVICE Hr]]</f>
        <v>31150</v>
      </c>
      <c r="T24" s="9">
        <f>Table113456[[#This Row],[DG Admin REM SERVICE Hr]]</f>
        <v>3540</v>
      </c>
      <c r="U24" s="9"/>
      <c r="V24" s="9"/>
      <c r="W24" s="9"/>
      <c r="X24" s="9"/>
      <c r="Y24" s="9"/>
      <c r="Z24" s="9"/>
      <c r="AA24" s="9"/>
      <c r="AB24" s="9"/>
      <c r="AC24" s="9"/>
      <c r="AD24" s="9">
        <f>Diesel!I24</f>
        <v>0</v>
      </c>
    </row>
    <row r="25" spans="1:30" x14ac:dyDescent="0.35">
      <c r="A25" s="32">
        <f>'PowerHouse Data'!$Y$1</f>
        <v>46287</v>
      </c>
      <c r="B25" s="16">
        <f>Table113456[[#This Row],[Main Tank
Consumption (Liters)]]</f>
        <v>0</v>
      </c>
      <c r="C25" s="5">
        <f>Table1135[[#This Row],[NEPA Consumption (KWH)]]</f>
        <v>0</v>
      </c>
      <c r="D25" s="10">
        <f>Table1135[[#This Row],[NEPA Availablity]]</f>
        <v>0</v>
      </c>
      <c r="E25" s="5">
        <f>Table113[[#This Row],[Comp E75 -1
Run Hours]]</f>
        <v>0</v>
      </c>
      <c r="F25" s="8">
        <f>Table113[[#This Row],[Comp E75 -2
Run Hours]]</f>
        <v>0</v>
      </c>
      <c r="G25" s="8">
        <f>Table113[[#This Row],[Comp E75 -3
Run Hours]]</f>
        <v>0</v>
      </c>
      <c r="H25" s="8">
        <f>Table113[[#This Row],[Comp E55 Run Hours]]</f>
        <v>0</v>
      </c>
      <c r="I25" s="10">
        <f>Table113456[[#This Row],[DG Milling Run Hours]]</f>
        <v>0</v>
      </c>
      <c r="J25" s="9">
        <f>Table113456[[#This Row],[DG Parboiling 
Run Hours]]</f>
        <v>0</v>
      </c>
      <c r="K25" s="9">
        <f>Table113456[[#This Row],[DG Utility Run Hours]]</f>
        <v>0</v>
      </c>
      <c r="L25" s="9">
        <f>Table113456[[#This Row],[DG Admin Run Hours]]</f>
        <v>0</v>
      </c>
      <c r="M25" s="9">
        <f>Table113[[#This Row],[Comp E75 -1
Rem Hours To Service]]</f>
        <v>5440</v>
      </c>
      <c r="N25" s="9">
        <f>Table113[[#This Row],[Comp E75 -2
Rem Hours To Service]]</f>
        <v>8066</v>
      </c>
      <c r="O25" s="9">
        <f>Table113[[#This Row],[Comp E75 -3
Rem Hours To Service]]</f>
        <v>4000</v>
      </c>
      <c r="P25" s="9">
        <f>Table113[[#This Row],[Comp E55 Rem Hours To Service]]</f>
        <v>26930</v>
      </c>
      <c r="Q25" s="9">
        <f>$Y$3-Table113456[[#This Row],[DG Milling Run Hr Meter]]</f>
        <v>5824</v>
      </c>
      <c r="R25" s="9">
        <f>Table113456[[#This Row],[DG Parboil REM SERVICE Hr]]</f>
        <v>12643.5</v>
      </c>
      <c r="S25" s="9">
        <f>Table113456[[#This Row],[DG Utility REM SERVICE Hr]]</f>
        <v>31150</v>
      </c>
      <c r="T25" s="9">
        <f>Table113456[[#This Row],[DG Admin REM SERVICE Hr]]</f>
        <v>3540</v>
      </c>
      <c r="U25" s="9"/>
      <c r="V25" s="9"/>
      <c r="W25" s="9"/>
      <c r="X25" s="9"/>
      <c r="Y25" s="9"/>
      <c r="Z25" s="9"/>
      <c r="AA25" s="9"/>
      <c r="AB25" s="9"/>
      <c r="AC25" s="9"/>
      <c r="AD25" s="9">
        <f>Diesel!I25</f>
        <v>0</v>
      </c>
    </row>
    <row r="26" spans="1:30" x14ac:dyDescent="0.35">
      <c r="A26" s="32">
        <f>'PowerHouse Data'!$Z$1</f>
        <v>46288</v>
      </c>
      <c r="B26" s="16">
        <f>Table113456[[#This Row],[Main Tank
Consumption (Liters)]]</f>
        <v>0</v>
      </c>
      <c r="C26" s="5">
        <f>Table1135[[#This Row],[NEPA Consumption (KWH)]]</f>
        <v>0</v>
      </c>
      <c r="D26" s="10">
        <f>Table1135[[#This Row],[NEPA Availablity]]</f>
        <v>0</v>
      </c>
      <c r="E26" s="5">
        <f>Table113[[#This Row],[Comp E75 -1
Run Hours]]</f>
        <v>0</v>
      </c>
      <c r="F26" s="8">
        <f>Table113[[#This Row],[Comp E75 -2
Run Hours]]</f>
        <v>0</v>
      </c>
      <c r="G26" s="8">
        <f>Table113[[#This Row],[Comp E75 -3
Run Hours]]</f>
        <v>0</v>
      </c>
      <c r="H26" s="8">
        <f>Table113[[#This Row],[Comp E55 Run Hours]]</f>
        <v>0</v>
      </c>
      <c r="I26" s="10">
        <f>Table113456[[#This Row],[DG Milling Run Hours]]</f>
        <v>0</v>
      </c>
      <c r="J26" s="9">
        <f>Table113456[[#This Row],[DG Parboiling 
Run Hours]]</f>
        <v>0</v>
      </c>
      <c r="K26" s="9">
        <f>Table113456[[#This Row],[DG Utility Run Hours]]</f>
        <v>0</v>
      </c>
      <c r="L26" s="9">
        <f>Table113456[[#This Row],[DG Admin Run Hours]]</f>
        <v>0</v>
      </c>
      <c r="M26" s="9">
        <f>Table113[[#This Row],[Comp E75 -1
Rem Hours To Service]]</f>
        <v>5440</v>
      </c>
      <c r="N26" s="9">
        <f>Table113[[#This Row],[Comp E75 -2
Rem Hours To Service]]</f>
        <v>8066</v>
      </c>
      <c r="O26" s="9">
        <f>Table113[[#This Row],[Comp E75 -3
Rem Hours To Service]]</f>
        <v>4000</v>
      </c>
      <c r="P26" s="9">
        <f>Table113[[#This Row],[Comp E55 Rem Hours To Service]]</f>
        <v>26930</v>
      </c>
      <c r="Q26" s="9">
        <f>$Y$3-Table113456[[#This Row],[DG Milling Run Hr Meter]]</f>
        <v>5824</v>
      </c>
      <c r="R26" s="9">
        <f>Table113456[[#This Row],[DG Parboil REM SERVICE Hr]]</f>
        <v>12643.5</v>
      </c>
      <c r="S26" s="9">
        <f>Table113456[[#This Row],[DG Utility REM SERVICE Hr]]</f>
        <v>31150</v>
      </c>
      <c r="T26" s="9">
        <f>Table113456[[#This Row],[DG Admin REM SERVICE Hr]]</f>
        <v>3540</v>
      </c>
      <c r="U26" s="9"/>
      <c r="V26" s="9"/>
      <c r="W26" s="9"/>
      <c r="X26" s="9"/>
      <c r="Y26" s="9"/>
      <c r="Z26" s="9"/>
      <c r="AA26" s="9"/>
      <c r="AB26" s="9"/>
      <c r="AC26" s="9"/>
      <c r="AD26" s="9">
        <f>Diesel!I26</f>
        <v>0</v>
      </c>
    </row>
    <row r="27" spans="1:30" x14ac:dyDescent="0.35">
      <c r="A27" s="32">
        <f>'PowerHouse Data'!$AA$1</f>
        <v>46289</v>
      </c>
      <c r="B27" s="16">
        <f>Table113456[[#This Row],[Main Tank
Consumption (Liters)]]</f>
        <v>0</v>
      </c>
      <c r="C27" s="5">
        <f>Table1135[[#This Row],[NEPA Consumption (KWH)]]</f>
        <v>0</v>
      </c>
      <c r="D27" s="10">
        <f>Table1135[[#This Row],[NEPA Availablity]]</f>
        <v>0</v>
      </c>
      <c r="E27" s="5">
        <f>Table113[[#This Row],[Comp E75 -1
Run Hours]]</f>
        <v>0</v>
      </c>
      <c r="F27" s="8">
        <f>Table113[[#This Row],[Comp E75 -2
Run Hours]]</f>
        <v>0</v>
      </c>
      <c r="G27" s="8">
        <f>Table113[[#This Row],[Comp E75 -3
Run Hours]]</f>
        <v>0</v>
      </c>
      <c r="H27" s="8">
        <f>Table113[[#This Row],[Comp E55 Run Hours]]</f>
        <v>0</v>
      </c>
      <c r="I27" s="10">
        <f>Table113456[[#This Row],[DG Milling Run Hours]]</f>
        <v>0</v>
      </c>
      <c r="J27" s="9">
        <f>Table113456[[#This Row],[DG Parboiling 
Run Hours]]</f>
        <v>0</v>
      </c>
      <c r="K27" s="9">
        <f>Table113456[[#This Row],[DG Utility Run Hours]]</f>
        <v>0</v>
      </c>
      <c r="L27" s="9">
        <f>Table113456[[#This Row],[DG Admin Run Hours]]</f>
        <v>0</v>
      </c>
      <c r="M27" s="9">
        <f>Table113[[#This Row],[Comp E75 -1
Rem Hours To Service]]</f>
        <v>5440</v>
      </c>
      <c r="N27" s="9">
        <f>Table113[[#This Row],[Comp E75 -2
Rem Hours To Service]]</f>
        <v>8066</v>
      </c>
      <c r="O27" s="9">
        <f>Table113[[#This Row],[Comp E75 -3
Rem Hours To Service]]</f>
        <v>4000</v>
      </c>
      <c r="P27" s="9">
        <f>Table113[[#This Row],[Comp E55 Rem Hours To Service]]</f>
        <v>26930</v>
      </c>
      <c r="Q27" s="9">
        <f>$Y$3-Table113456[[#This Row],[DG Milling Run Hr Meter]]</f>
        <v>5824</v>
      </c>
      <c r="R27" s="9">
        <f>Table113456[[#This Row],[DG Parboil REM SERVICE Hr]]</f>
        <v>12643.5</v>
      </c>
      <c r="S27" s="9">
        <f>Table113456[[#This Row],[DG Utility REM SERVICE Hr]]</f>
        <v>31150</v>
      </c>
      <c r="T27" s="9">
        <f>Table113456[[#This Row],[DG Admin REM SERVICE Hr]]</f>
        <v>3540</v>
      </c>
      <c r="U27" s="9"/>
      <c r="V27" s="9"/>
      <c r="W27" s="9"/>
      <c r="X27" s="9"/>
      <c r="Y27" s="9"/>
      <c r="Z27" s="9"/>
      <c r="AA27" s="9"/>
      <c r="AB27" s="9"/>
      <c r="AC27" s="9"/>
      <c r="AD27" s="9">
        <f>Diesel!I27</f>
        <v>0</v>
      </c>
    </row>
    <row r="28" spans="1:30" x14ac:dyDescent="0.35">
      <c r="A28" s="32">
        <f>'PowerHouse Data'!$AB$1</f>
        <v>46290</v>
      </c>
      <c r="B28" s="16">
        <f>Table113456[[#This Row],[Main Tank
Consumption (Liters)]]</f>
        <v>0</v>
      </c>
      <c r="C28" s="5">
        <f>Table1135[[#This Row],[NEPA Consumption (KWH)]]</f>
        <v>0</v>
      </c>
      <c r="D28" s="10">
        <f>Table1135[[#This Row],[NEPA Availablity]]</f>
        <v>0</v>
      </c>
      <c r="E28" s="5">
        <f>Table113[[#This Row],[Comp E75 -1
Run Hours]]</f>
        <v>0</v>
      </c>
      <c r="F28" s="8">
        <f>Table113[[#This Row],[Comp E75 -2
Run Hours]]</f>
        <v>0</v>
      </c>
      <c r="G28" s="8">
        <f>Table113[[#This Row],[Comp E75 -3
Run Hours]]</f>
        <v>0</v>
      </c>
      <c r="H28" s="8">
        <f>Table113[[#This Row],[Comp E55 Run Hours]]</f>
        <v>0</v>
      </c>
      <c r="I28" s="10">
        <f>Table113456[[#This Row],[DG Milling Run Hours]]</f>
        <v>0</v>
      </c>
      <c r="J28" s="9">
        <f>Table113456[[#This Row],[DG Parboiling 
Run Hours]]</f>
        <v>0</v>
      </c>
      <c r="K28" s="9">
        <f>Table113456[[#This Row],[DG Utility Run Hours]]</f>
        <v>0</v>
      </c>
      <c r="L28" s="9">
        <f>Table113456[[#This Row],[DG Admin Run Hours]]</f>
        <v>0</v>
      </c>
      <c r="M28" s="9">
        <f>Table113[[#This Row],[Comp E75 -1
Rem Hours To Service]]</f>
        <v>5440</v>
      </c>
      <c r="N28" s="9">
        <f>Table113[[#This Row],[Comp E75 -2
Rem Hours To Service]]</f>
        <v>8066</v>
      </c>
      <c r="O28" s="9">
        <f>Table113[[#This Row],[Comp E75 -3
Rem Hours To Service]]</f>
        <v>4000</v>
      </c>
      <c r="P28" s="9">
        <f>Table113[[#This Row],[Comp E55 Rem Hours To Service]]</f>
        <v>26930</v>
      </c>
      <c r="Q28" s="9">
        <f>$Y$3-Table113456[[#This Row],[DG Milling Run Hr Meter]]</f>
        <v>5824</v>
      </c>
      <c r="R28" s="9">
        <f>Table113456[[#This Row],[DG Parboil REM SERVICE Hr]]</f>
        <v>12643.5</v>
      </c>
      <c r="S28" s="9">
        <f>Table113456[[#This Row],[DG Utility REM SERVICE Hr]]</f>
        <v>31150</v>
      </c>
      <c r="T28" s="9">
        <f>Table113456[[#This Row],[DG Admin REM SERVICE Hr]]</f>
        <v>3540</v>
      </c>
      <c r="U28" s="9"/>
      <c r="V28" s="9"/>
      <c r="W28" s="9"/>
      <c r="X28" s="9"/>
      <c r="Y28" s="9"/>
      <c r="Z28" s="9"/>
      <c r="AA28" s="9"/>
      <c r="AB28" s="9"/>
      <c r="AC28" s="9"/>
      <c r="AD28" s="9">
        <f>Diesel!I28</f>
        <v>0</v>
      </c>
    </row>
    <row r="29" spans="1:30" x14ac:dyDescent="0.35">
      <c r="A29" s="32">
        <f>'PowerHouse Data'!$AC$1</f>
        <v>46291</v>
      </c>
      <c r="B29" s="16">
        <f>Table113456[[#This Row],[Main Tank
Consumption (Liters)]]</f>
        <v>0</v>
      </c>
      <c r="C29" s="5">
        <f>Table1135[[#This Row],[NEPA Consumption (KWH)]]</f>
        <v>0</v>
      </c>
      <c r="D29" s="10">
        <f>Table1135[[#This Row],[NEPA Availablity]]</f>
        <v>0</v>
      </c>
      <c r="E29" s="5">
        <f>Table113[[#This Row],[Comp E75 -1
Run Hours]]</f>
        <v>0</v>
      </c>
      <c r="F29" s="8">
        <f>Table113[[#This Row],[Comp E75 -2
Run Hours]]</f>
        <v>0</v>
      </c>
      <c r="G29" s="8">
        <f>Table113[[#This Row],[Comp E75 -3
Run Hours]]</f>
        <v>0</v>
      </c>
      <c r="H29" s="8">
        <f>Table113[[#This Row],[Comp E55 Run Hours]]</f>
        <v>0</v>
      </c>
      <c r="I29" s="10">
        <f>Table113456[[#This Row],[DG Milling Run Hours]]</f>
        <v>0</v>
      </c>
      <c r="J29" s="9">
        <f>Table113456[[#This Row],[DG Parboiling 
Run Hours]]</f>
        <v>0</v>
      </c>
      <c r="K29" s="9">
        <f>Table113456[[#This Row],[DG Utility Run Hours]]</f>
        <v>0</v>
      </c>
      <c r="L29" s="9">
        <f>Table113456[[#This Row],[DG Admin Run Hours]]</f>
        <v>0</v>
      </c>
      <c r="M29" s="9">
        <f>Table113[[#This Row],[Comp E75 -1
Rem Hours To Service]]</f>
        <v>5440</v>
      </c>
      <c r="N29" s="9">
        <f>Table113[[#This Row],[Comp E75 -2
Rem Hours To Service]]</f>
        <v>8066</v>
      </c>
      <c r="O29" s="9">
        <f>Table113[[#This Row],[Comp E75 -3
Rem Hours To Service]]</f>
        <v>4000</v>
      </c>
      <c r="P29" s="9">
        <f>Table113[[#This Row],[Comp E55 Rem Hours To Service]]</f>
        <v>26930</v>
      </c>
      <c r="Q29" s="9">
        <f>$Y$3-Table113456[[#This Row],[DG Milling Run Hr Meter]]</f>
        <v>5824</v>
      </c>
      <c r="R29" s="9">
        <f>Table113456[[#This Row],[DG Parboil REM SERVICE Hr]]</f>
        <v>12643.5</v>
      </c>
      <c r="S29" s="9">
        <f>Table113456[[#This Row],[DG Utility REM SERVICE Hr]]</f>
        <v>31150</v>
      </c>
      <c r="T29" s="9">
        <f>Table113456[[#This Row],[DG Admin REM SERVICE Hr]]</f>
        <v>3540</v>
      </c>
      <c r="U29" s="9"/>
      <c r="V29" s="9"/>
      <c r="W29" s="9"/>
      <c r="X29" s="9"/>
      <c r="Y29" s="9"/>
      <c r="Z29" s="9"/>
      <c r="AA29" s="9"/>
      <c r="AB29" s="9"/>
      <c r="AC29" s="9"/>
      <c r="AD29" s="9">
        <f>Diesel!I29</f>
        <v>0</v>
      </c>
    </row>
    <row r="30" spans="1:30" x14ac:dyDescent="0.35">
      <c r="A30" s="32">
        <f>'PowerHouse Data'!$AD$1</f>
        <v>46292</v>
      </c>
      <c r="B30" s="16">
        <f>Table113456[[#This Row],[Main Tank
Consumption (Liters)]]</f>
        <v>0</v>
      </c>
      <c r="C30" s="5">
        <f>Table1135[[#This Row],[NEPA Consumption (KWH)]]</f>
        <v>0</v>
      </c>
      <c r="D30" s="10">
        <f>Table1135[[#This Row],[NEPA Availablity]]</f>
        <v>0</v>
      </c>
      <c r="E30" s="5">
        <f>Table113[[#This Row],[Comp E75 -1
Run Hours]]</f>
        <v>0</v>
      </c>
      <c r="F30" s="8">
        <f>Table113[[#This Row],[Comp E75 -2
Run Hours]]</f>
        <v>0</v>
      </c>
      <c r="G30" s="8">
        <f>Table113[[#This Row],[Comp E75 -3
Run Hours]]</f>
        <v>0</v>
      </c>
      <c r="H30" s="8">
        <f>Table113[[#This Row],[Comp E55 Run Hours]]</f>
        <v>0</v>
      </c>
      <c r="I30" s="10">
        <f>Table113456[[#This Row],[DG Milling Run Hours]]</f>
        <v>0</v>
      </c>
      <c r="J30" s="9">
        <f>Table113456[[#This Row],[DG Parboiling 
Run Hours]]</f>
        <v>0</v>
      </c>
      <c r="K30" s="9">
        <f>Table113456[[#This Row],[DG Utility Run Hours]]</f>
        <v>0</v>
      </c>
      <c r="L30" s="9">
        <f>Table113456[[#This Row],[DG Admin Run Hours]]</f>
        <v>0</v>
      </c>
      <c r="M30" s="9">
        <f>Table113[[#This Row],[Comp E75 -1
Rem Hours To Service]]</f>
        <v>5440</v>
      </c>
      <c r="N30" s="9">
        <f>Table113[[#This Row],[Comp E75 -2
Rem Hours To Service]]</f>
        <v>8066</v>
      </c>
      <c r="O30" s="9">
        <f>Table113[[#This Row],[Comp E75 -3
Rem Hours To Service]]</f>
        <v>4000</v>
      </c>
      <c r="P30" s="9">
        <f>Table113[[#This Row],[Comp E55 Rem Hours To Service]]</f>
        <v>26930</v>
      </c>
      <c r="Q30" s="9">
        <f>$Y$3-Table113456[[#This Row],[DG Milling Run Hr Meter]]</f>
        <v>5824</v>
      </c>
      <c r="R30" s="9">
        <f>Table113456[[#This Row],[DG Parboil REM SERVICE Hr]]</f>
        <v>12643.5</v>
      </c>
      <c r="S30" s="9">
        <f>Table113456[[#This Row],[DG Utility REM SERVICE Hr]]</f>
        <v>31150</v>
      </c>
      <c r="T30" s="9">
        <f>Table113456[[#This Row],[DG Admin REM SERVICE Hr]]</f>
        <v>3540</v>
      </c>
      <c r="U30" s="9"/>
      <c r="V30" s="9"/>
      <c r="W30" s="9"/>
      <c r="X30" s="9"/>
      <c r="Y30" s="9"/>
      <c r="Z30" s="9"/>
      <c r="AA30" s="9"/>
      <c r="AB30" s="9"/>
      <c r="AC30" s="9"/>
      <c r="AD30" s="9">
        <f>Diesel!I30</f>
        <v>0</v>
      </c>
    </row>
    <row r="31" spans="1:30" x14ac:dyDescent="0.35">
      <c r="A31" s="32">
        <f>'PowerHouse Data'!$AE$1</f>
        <v>46293</v>
      </c>
      <c r="B31" s="16">
        <f>Table113456[[#This Row],[Main Tank
Consumption (Liters)]]</f>
        <v>0</v>
      </c>
      <c r="C31" s="5">
        <f>Table1135[[#This Row],[NEPA Consumption (KWH)]]</f>
        <v>0</v>
      </c>
      <c r="D31" s="10">
        <f>Table1135[[#This Row],[NEPA Availablity]]</f>
        <v>0</v>
      </c>
      <c r="E31" s="5">
        <f>Table113[[#This Row],[Comp E75 -1
Run Hours]]</f>
        <v>0</v>
      </c>
      <c r="F31" s="8">
        <f>Table113[[#This Row],[Comp E75 -2
Run Hours]]</f>
        <v>0</v>
      </c>
      <c r="G31" s="8">
        <f>Table113[[#This Row],[Comp E75 -3
Run Hours]]</f>
        <v>0</v>
      </c>
      <c r="H31" s="8">
        <f>Table113[[#This Row],[Comp E55 Run Hours]]</f>
        <v>0</v>
      </c>
      <c r="I31" s="10">
        <f>Table113456[[#This Row],[DG Milling Run Hours]]</f>
        <v>0</v>
      </c>
      <c r="J31" s="9">
        <f>Table113456[[#This Row],[DG Parboiling 
Run Hours]]</f>
        <v>0</v>
      </c>
      <c r="K31" s="9">
        <f>Table113456[[#This Row],[DG Utility Run Hours]]</f>
        <v>0</v>
      </c>
      <c r="L31" s="9">
        <f>Table113456[[#This Row],[DG Admin Run Hours]]</f>
        <v>0</v>
      </c>
      <c r="M31" s="9">
        <f>Table113[[#This Row],[Comp E75 -1
Rem Hours To Service]]</f>
        <v>5440</v>
      </c>
      <c r="N31" s="9">
        <f>Table113[[#This Row],[Comp E75 -2
Rem Hours To Service]]</f>
        <v>8066</v>
      </c>
      <c r="O31" s="9">
        <f>Table113[[#This Row],[Comp E75 -3
Rem Hours To Service]]</f>
        <v>4000</v>
      </c>
      <c r="P31" s="9">
        <f>Table113[[#This Row],[Comp E55 Rem Hours To Service]]</f>
        <v>26930</v>
      </c>
      <c r="Q31" s="9">
        <f>$Y$3-Table113456[[#This Row],[DG Milling Run Hr Meter]]</f>
        <v>5824</v>
      </c>
      <c r="R31" s="9">
        <f>Table113456[[#This Row],[DG Parboil REM SERVICE Hr]]</f>
        <v>12643.5</v>
      </c>
      <c r="S31" s="9">
        <f>Table113456[[#This Row],[DG Utility REM SERVICE Hr]]</f>
        <v>31150</v>
      </c>
      <c r="T31" s="9">
        <f>Table113456[[#This Row],[DG Admin REM SERVICE Hr]]</f>
        <v>3540</v>
      </c>
      <c r="U31" s="9"/>
      <c r="V31" s="9"/>
      <c r="W31" s="9"/>
      <c r="X31" s="9"/>
      <c r="Y31" s="9"/>
      <c r="Z31" s="9"/>
      <c r="AA31" s="9"/>
      <c r="AB31" s="9"/>
      <c r="AC31" s="9"/>
      <c r="AD31" s="9">
        <f>Diesel!I31</f>
        <v>0</v>
      </c>
    </row>
    <row r="32" spans="1:30" x14ac:dyDescent="0.35">
      <c r="A32" s="32">
        <f>'PowerHouse Data'!$AF$1</f>
        <v>46294</v>
      </c>
      <c r="B32" s="19">
        <f>Table113456[[#This Row],[Main Tank
Consumption (Liters)]]</f>
        <v>0</v>
      </c>
      <c r="C32" s="6">
        <f>Table1135[[#This Row],[NEPA Consumption (KWH)]]</f>
        <v>0</v>
      </c>
      <c r="D32" s="10">
        <f>Table1135[[#This Row],[NEPA Availablity]]</f>
        <v>0</v>
      </c>
      <c r="E32" s="5">
        <f>Table113[[#This Row],[Comp E75 -1
Run Hours]]</f>
        <v>0</v>
      </c>
      <c r="F32" s="8">
        <f>Table113[[#This Row],[Comp E75 -2
Run Hours]]</f>
        <v>0</v>
      </c>
      <c r="G32" s="8">
        <f>Table113[[#This Row],[Comp E75 -3
Run Hours]]</f>
        <v>0</v>
      </c>
      <c r="H32" s="8">
        <f>Table113[[#This Row],[Comp E55 Run Hours]]</f>
        <v>0</v>
      </c>
      <c r="I32" s="10">
        <f>Table113456[[#This Row],[DG Milling Run Hours]]</f>
        <v>0</v>
      </c>
      <c r="J32" s="9">
        <f>Table113456[[#This Row],[DG Parboiling 
Run Hours]]</f>
        <v>0</v>
      </c>
      <c r="K32" s="9">
        <f>Table113456[[#This Row],[DG Utility Run Hours]]</f>
        <v>0</v>
      </c>
      <c r="L32" s="9">
        <f>Table113456[[#This Row],[DG Admin Run Hours]]</f>
        <v>0</v>
      </c>
      <c r="M32" s="9">
        <f>Table113[[#This Row],[Comp E75 -1
Rem Hours To Service]]</f>
        <v>5440</v>
      </c>
      <c r="N32" s="9">
        <f>Table113[[#This Row],[Comp E75 -2
Rem Hours To Service]]</f>
        <v>8066</v>
      </c>
      <c r="O32" s="9">
        <f>Table113[[#This Row],[Comp E75 -3
Rem Hours To Service]]</f>
        <v>4000</v>
      </c>
      <c r="P32" s="9">
        <f>Table113[[#This Row],[Comp E55 Rem Hours To Service]]</f>
        <v>26930</v>
      </c>
      <c r="Q32" s="9">
        <f>$Y$3-Table113456[[#This Row],[DG Milling Run Hr Meter]]</f>
        <v>5824</v>
      </c>
      <c r="R32" s="9">
        <f>Table113456[[#This Row],[DG Parboil REM SERVICE Hr]]</f>
        <v>12643.5</v>
      </c>
      <c r="S32" s="9">
        <f>Table113456[[#This Row],[DG Utility REM SERVICE Hr]]</f>
        <v>31150</v>
      </c>
      <c r="T32" s="9">
        <f>Table113456[[#This Row],[DG Admin REM SERVICE Hr]]</f>
        <v>3540</v>
      </c>
      <c r="U32" s="9"/>
      <c r="V32" s="9"/>
      <c r="W32" s="9"/>
      <c r="X32" s="9"/>
      <c r="Y32" s="9"/>
      <c r="Z32" s="9"/>
      <c r="AA32" s="9"/>
      <c r="AB32" s="9"/>
      <c r="AC32" s="9"/>
      <c r="AD32" s="9">
        <f>Diesel!I32</f>
        <v>0</v>
      </c>
    </row>
    <row r="33" spans="1:39" x14ac:dyDescent="0.35">
      <c r="A33" s="32">
        <f>'PowerHouse Data'!$AG$1</f>
        <v>46295</v>
      </c>
      <c r="B33" s="19">
        <f>Table113456[[#This Row],[Main Tank
Consumption (Liters)]]</f>
        <v>0</v>
      </c>
      <c r="C33" s="6">
        <f>Table1135[[#This Row],[NEPA Consumption (KWH)]]</f>
        <v>0</v>
      </c>
      <c r="D33" s="10">
        <f>Table1135[[#This Row],[NEPA Availablity]]</f>
        <v>0</v>
      </c>
      <c r="E33" s="6">
        <f>Table113[[#This Row],[Comp E75 -1
Run Hours]]</f>
        <v>0</v>
      </c>
      <c r="F33" s="6">
        <f>Table113[[#This Row],[Comp E75 -2
Run Hours]]</f>
        <v>0</v>
      </c>
      <c r="G33" s="25">
        <f>Table113[[#This Row],[Comp E75 -3
Run Hours]]</f>
        <v>0</v>
      </c>
      <c r="H33" s="6">
        <f>Table113[[#This Row],[Comp E55 Run Hours]]</f>
        <v>0</v>
      </c>
      <c r="I33" s="19">
        <f>Table113456[[#This Row],[DG Milling Run Hours]]</f>
        <v>0</v>
      </c>
      <c r="J33" s="9">
        <f>Table113456[[#This Row],[DG Parboiling 
Run Hours]]</f>
        <v>0</v>
      </c>
      <c r="K33" s="9">
        <f>Table113456[[#This Row],[DG Utility Run Hours]]</f>
        <v>0</v>
      </c>
      <c r="L33" s="9">
        <f>Table113456[[#This Row],[DG Admin Run Hours]]</f>
        <v>0</v>
      </c>
      <c r="M33" s="25">
        <f>Table113[[#This Row],[Comp E75 -1
Rem Hours To Service]]</f>
        <v>5440</v>
      </c>
      <c r="N33" s="6">
        <f>Table113[[#This Row],[Comp E75 -2
Rem Hours To Service]]</f>
        <v>8066</v>
      </c>
      <c r="O33" s="25">
        <f>Table113[[#This Row],[Comp E75 -3
Rem Hours To Service]]</f>
        <v>4000</v>
      </c>
      <c r="P33" s="25">
        <f>Table113[[#This Row],[Comp E55 Rem Hours To Service]]</f>
        <v>26930</v>
      </c>
      <c r="Q33" s="9">
        <f>$Y$3-Table113456[[#This Row],[DG Milling Run Hr Meter]]</f>
        <v>5824</v>
      </c>
      <c r="R33" s="6">
        <f>Table113456[[#This Row],[DG Parboil REM SERVICE Hr]]</f>
        <v>12643.5</v>
      </c>
      <c r="S33" s="47">
        <f>Table113456[[#This Row],[DG Utility REM SERVICE Hr]]</f>
        <v>31150</v>
      </c>
      <c r="T33" s="47">
        <f>Table113456[[#This Row],[DG Admin REM SERVICE Hr]]</f>
        <v>3540</v>
      </c>
      <c r="U33" s="6"/>
      <c r="V33" s="6"/>
      <c r="W33" s="6"/>
      <c r="X33" s="6"/>
      <c r="Y33" s="6"/>
      <c r="Z33" s="6"/>
      <c r="AA33" s="6"/>
      <c r="AB33" s="6"/>
      <c r="AC33" s="6"/>
      <c r="AD33" s="9">
        <f>Diesel!I33</f>
        <v>0</v>
      </c>
    </row>
    <row r="34" spans="1:39" x14ac:dyDescent="0.35">
      <c r="A34" s="32">
        <f>'PowerHouse Data'!$AH$1</f>
        <v>46296</v>
      </c>
      <c r="B34" s="19">
        <f>Table113456[[#This Row],[Main Tank
Consumption (Liters)]]</f>
        <v>0</v>
      </c>
      <c r="C34" s="6">
        <f>Table1135[[#This Row],[NEPA Consumption (KWH)]]</f>
        <v>0</v>
      </c>
      <c r="D34" s="10">
        <f>Table1135[[#This Row],[NEPA Availablity]]</f>
        <v>0</v>
      </c>
      <c r="E34" s="5">
        <f>Table113[[#This Row],[Comp E75 -1
Run Hours]]</f>
        <v>0</v>
      </c>
      <c r="F34" s="8">
        <f>Table113[[#This Row],[Comp E75 -2
Run Hours]]</f>
        <v>0</v>
      </c>
      <c r="G34" s="8">
        <f>Table113[[#This Row],[Comp E75 -3
Run Hours]]</f>
        <v>0</v>
      </c>
      <c r="H34" s="8">
        <f>Table113[[#This Row],[Comp E55 Run Hours]]</f>
        <v>0</v>
      </c>
      <c r="I34" s="10">
        <f>Table113456[[#This Row],[DG Milling Run Hours]]</f>
        <v>0</v>
      </c>
      <c r="J34" s="9">
        <f>Table113456[[#This Row],[DG Parboiling 
Run Hours]]</f>
        <v>0</v>
      </c>
      <c r="K34" s="9">
        <f>Table113456[[#This Row],[DG Utility Run Hours]]</f>
        <v>0</v>
      </c>
      <c r="L34" s="9">
        <f>Table113456[[#This Row],[DG Admin Run Hours]]</f>
        <v>0</v>
      </c>
      <c r="M34" s="9">
        <f>Table113[[#This Row],[Comp E75 -1
Rem Hours To Service]]</f>
        <v>5440</v>
      </c>
      <c r="N34" s="9">
        <f>Table113[[#This Row],[Comp E75 -2
Rem Hours To Service]]</f>
        <v>8066</v>
      </c>
      <c r="O34" s="9">
        <f>Table113[[#This Row],[Comp E75 -3
Rem Hours To Service]]</f>
        <v>4000</v>
      </c>
      <c r="P34" s="9">
        <f>Table113[[#This Row],[Comp E55 Rem Hours To Service]]</f>
        <v>26930</v>
      </c>
      <c r="Q34" s="9">
        <f>$Y$3-Table113456[[#This Row],[DG Milling Run Hr Meter]]</f>
        <v>5824</v>
      </c>
      <c r="R34" s="9">
        <f>Table113456[[#This Row],[DG Parboil REM SERVICE Hr]]</f>
        <v>12643.5</v>
      </c>
      <c r="S34" s="9">
        <f>Table113456[[#This Row],[DG Utility REM SERVICE Hr]]</f>
        <v>31150</v>
      </c>
      <c r="T34" s="9">
        <f>Table113456[[#This Row],[DG Admin REM SERVICE Hr]]</f>
        <v>3540</v>
      </c>
      <c r="U34" s="9"/>
      <c r="V34" s="9"/>
      <c r="W34" s="9"/>
      <c r="X34" s="9"/>
      <c r="Y34" s="9"/>
      <c r="Z34" s="9"/>
      <c r="AA34" s="9"/>
      <c r="AB34" s="9"/>
      <c r="AC34" s="9"/>
      <c r="AD34" s="9">
        <f>Diesel!I34</f>
        <v>0</v>
      </c>
    </row>
    <row r="35" spans="1:39" x14ac:dyDescent="0.35">
      <c r="A35" s="32">
        <f>'PowerHouse Data'!$AI$1</f>
        <v>0</v>
      </c>
      <c r="B35" s="16">
        <f>Table113456[[#This Row],[Main Tank
Consumption (Liters)]]</f>
        <v>0</v>
      </c>
      <c r="C35" s="5">
        <f>Table1135[[#This Row],[NEPA Consumption (KWH)]]</f>
        <v>0</v>
      </c>
      <c r="D35" s="10">
        <f>Table1135[[#This Row],[NEPA Availablity]]</f>
        <v>0</v>
      </c>
      <c r="E35" s="5">
        <f>Table113[[#This Row],[Comp E75 -1
Run Hours]]</f>
        <v>0</v>
      </c>
      <c r="F35" s="8">
        <f>Table113[[#This Row],[Comp E75 -2
Run Hours]]</f>
        <v>0</v>
      </c>
      <c r="G35" s="8">
        <f>Table113[[#This Row],[Comp E75 -3
Run Hours]]</f>
        <v>0</v>
      </c>
      <c r="H35" s="8">
        <f>Table113[[#This Row],[Comp E55 Run Hours]]</f>
        <v>0</v>
      </c>
      <c r="I35" s="10">
        <f>Table113456[[#This Row],[DG Milling Run Hours]]</f>
        <v>0</v>
      </c>
      <c r="J35" s="9">
        <f>Table113456[[#This Row],[DG Parboiling 
Run Hours]]</f>
        <v>0</v>
      </c>
      <c r="K35" s="9">
        <f>Table113456[[#This Row],[DG Utility Run Hours]]</f>
        <v>0</v>
      </c>
      <c r="L35" s="9">
        <f>Table113456[[#This Row],[DG Admin Run Hours]]</f>
        <v>0</v>
      </c>
      <c r="M35" s="9">
        <f>Table113[[#This Row],[Comp E75 -1
Rem Hours To Service]]</f>
        <v>5440</v>
      </c>
      <c r="N35" s="9">
        <f>Table113[[#This Row],[Comp E75 -2
Rem Hours To Service]]</f>
        <v>8066</v>
      </c>
      <c r="O35" s="9">
        <f>Table113[[#This Row],[Comp E75 -3
Rem Hours To Service]]</f>
        <v>4000</v>
      </c>
      <c r="P35" s="9">
        <f>Table113[[#This Row],[Comp E55 Rem Hours To Service]]</f>
        <v>26930</v>
      </c>
      <c r="Q35" s="9">
        <f>$Y$3-Table113456[[#This Row],[DG Milling Run Hr Meter]]</f>
        <v>5824</v>
      </c>
      <c r="R35" s="9">
        <f>Table113456[[#This Row],[DG Parboil REM SERVICE Hr]]</f>
        <v>12643.5</v>
      </c>
      <c r="S35" s="9">
        <f>Table113456[[#This Row],[DG Utility REM SERVICE Hr]]</f>
        <v>31150</v>
      </c>
      <c r="T35" s="9">
        <f>Table113456[[#This Row],[DG Admin REM SERVICE Hr]]</f>
        <v>3540</v>
      </c>
      <c r="U35" s="9"/>
      <c r="V35" s="9"/>
      <c r="W35" s="9"/>
      <c r="X35" s="9"/>
      <c r="Y35" s="9"/>
      <c r="Z35" s="9"/>
      <c r="AA35" s="9"/>
      <c r="AB35" s="9"/>
      <c r="AC35" s="9"/>
      <c r="AD35" s="9">
        <f>Diesel!I35</f>
        <v>0</v>
      </c>
    </row>
    <row r="36" spans="1:39" x14ac:dyDescent="0.35">
      <c r="AM36" s="17"/>
    </row>
    <row r="37" spans="1:39" x14ac:dyDescent="0.35">
      <c r="B37" s="11">
        <f>SUM(B4:B34)</f>
        <v>40462.5</v>
      </c>
      <c r="C37">
        <f>SUM(C4:C31)</f>
        <v>-24324380</v>
      </c>
      <c r="E37" s="11">
        <f>B37-B32</f>
        <v>40462.5</v>
      </c>
      <c r="M37" s="11"/>
      <c r="N37" s="11"/>
      <c r="O37" s="11"/>
      <c r="P37" s="11"/>
      <c r="Q37" s="11"/>
      <c r="R37" s="11"/>
      <c r="AM37" s="17"/>
    </row>
    <row r="38" spans="1:39" x14ac:dyDescent="0.35">
      <c r="AM38" s="17"/>
    </row>
    <row r="39" spans="1:39" ht="14.5" customHeight="1" x14ac:dyDescent="0.35">
      <c r="B39" s="48" t="s">
        <v>69</v>
      </c>
      <c r="C39" s="49"/>
      <c r="D39" s="49"/>
      <c r="E39" s="49"/>
      <c r="F39" s="49"/>
      <c r="G39" s="43"/>
      <c r="AM39" s="17"/>
    </row>
    <row r="40" spans="1:39" x14ac:dyDescent="0.35">
      <c r="B40" s="49"/>
      <c r="C40" s="49"/>
      <c r="D40" s="49"/>
      <c r="E40" s="49"/>
      <c r="F40" s="49"/>
      <c r="G40" s="43"/>
    </row>
    <row r="41" spans="1:39" x14ac:dyDescent="0.35">
      <c r="B41" s="49"/>
      <c r="C41" s="49"/>
      <c r="D41" s="49"/>
      <c r="E41" s="49"/>
      <c r="F41" s="49"/>
      <c r="G41" s="43"/>
    </row>
    <row r="42" spans="1:39" x14ac:dyDescent="0.35">
      <c r="B42" s="49"/>
      <c r="C42" s="49"/>
      <c r="D42" s="49"/>
      <c r="E42" s="49"/>
      <c r="F42" s="49"/>
      <c r="G42" s="43"/>
    </row>
    <row r="43" spans="1:39" x14ac:dyDescent="0.35">
      <c r="B43" s="49"/>
      <c r="C43" s="49"/>
      <c r="D43" s="49"/>
      <c r="E43" s="49"/>
      <c r="F43" s="49"/>
      <c r="G43" s="43"/>
    </row>
    <row r="44" spans="1:39" x14ac:dyDescent="0.35">
      <c r="B44" s="49"/>
      <c r="C44" s="49"/>
      <c r="D44" s="49"/>
      <c r="E44" s="49"/>
      <c r="F44" s="49"/>
      <c r="G44" s="43"/>
    </row>
  </sheetData>
  <sheetProtection formatCells="0" formatColumns="0" formatRows="0" insertColumns="0" insertRows="0" insertHyperlinks="0" deleteColumns="0" deleteRows="0" sort="0" autoFilter="0" pivotTables="0"/>
  <mergeCells count="1">
    <mergeCell ref="B39:F44"/>
  </mergeCells>
  <phoneticPr fontId="3" type="noConversion"/>
  <printOptions horizontalCentered="1"/>
  <pageMargins left="0.11811023622047245" right="0.11811023622047245" top="0.74803149606299213" bottom="0.74803149606299213" header="0.31496062992125984" footer="0.31496062992125984"/>
  <pageSetup orientation="portrait" r:id="rId1"/>
  <ignoredErrors>
    <ignoredError sqref="AD4:AD35 Q4:Q35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9DDD-2A14-4746-BC3C-C1533FBE8EDA}">
  <sheetPr codeName="Sheet3"/>
  <dimension ref="A1:Q36"/>
  <sheetViews>
    <sheetView workbookViewId="0">
      <selection activeCell="A20" sqref="A20"/>
    </sheetView>
  </sheetViews>
  <sheetFormatPr defaultRowHeight="14.5" x14ac:dyDescent="0.35"/>
  <cols>
    <col min="1" max="1" width="10.453125" bestFit="1" customWidth="1"/>
    <col min="2" max="2" width="11.26953125" bestFit="1" customWidth="1"/>
    <col min="3" max="3" width="11.26953125" customWidth="1"/>
    <col min="4" max="5" width="11.26953125" bestFit="1" customWidth="1"/>
    <col min="6" max="6" width="11.26953125" customWidth="1"/>
    <col min="7" max="7" width="11.26953125" bestFit="1" customWidth="1"/>
    <col min="8" max="10" width="11.26953125" customWidth="1"/>
    <col min="11" max="11" width="11.26953125" bestFit="1" customWidth="1"/>
    <col min="12" max="12" width="11.26953125" customWidth="1"/>
    <col min="13" max="13" width="10.81640625" bestFit="1" customWidth="1"/>
  </cols>
  <sheetData>
    <row r="1" spans="1:17" ht="58" x14ac:dyDescent="0.35">
      <c r="A1" s="1" t="s">
        <v>0</v>
      </c>
      <c r="B1" s="2" t="s">
        <v>5</v>
      </c>
      <c r="C1" s="2" t="s">
        <v>12</v>
      </c>
      <c r="D1" s="2" t="s">
        <v>7</v>
      </c>
      <c r="E1" s="2" t="s">
        <v>4</v>
      </c>
      <c r="F1" s="2" t="s">
        <v>13</v>
      </c>
      <c r="G1" s="2" t="s">
        <v>8</v>
      </c>
      <c r="H1" s="2" t="s">
        <v>40</v>
      </c>
      <c r="I1" s="2" t="s">
        <v>41</v>
      </c>
      <c r="J1" s="2" t="s">
        <v>42</v>
      </c>
      <c r="K1" s="2" t="s">
        <v>6</v>
      </c>
      <c r="L1" s="2" t="s">
        <v>14</v>
      </c>
      <c r="M1" s="2" t="s">
        <v>11</v>
      </c>
      <c r="N1" s="2" t="s">
        <v>15</v>
      </c>
      <c r="O1" s="2" t="s">
        <v>16</v>
      </c>
      <c r="P1" s="2" t="s">
        <v>45</v>
      </c>
      <c r="Q1" s="2" t="s">
        <v>17</v>
      </c>
    </row>
    <row r="2" spans="1:17" hidden="1" x14ac:dyDescent="0.35">
      <c r="A2" s="4">
        <v>46233</v>
      </c>
      <c r="B2" s="8">
        <v>0</v>
      </c>
      <c r="C2" s="6">
        <v>4033</v>
      </c>
      <c r="D2" s="10">
        <v>1407</v>
      </c>
      <c r="E2" s="8">
        <v>0</v>
      </c>
      <c r="F2" s="6">
        <v>6841</v>
      </c>
      <c r="G2" s="10">
        <v>1225</v>
      </c>
      <c r="H2" s="8">
        <v>0</v>
      </c>
      <c r="I2" s="6">
        <v>972</v>
      </c>
      <c r="J2" s="10">
        <v>3028</v>
      </c>
      <c r="K2" s="8">
        <v>0</v>
      </c>
      <c r="L2" s="6">
        <v>25941</v>
      </c>
      <c r="M2" s="10">
        <v>989</v>
      </c>
      <c r="N2" s="15"/>
      <c r="O2" s="15"/>
      <c r="P2" s="15"/>
      <c r="Q2" s="15"/>
    </row>
    <row r="3" spans="1:17" hidden="1" x14ac:dyDescent="0.35">
      <c r="A3" s="32">
        <f>'PowerHouse Data'!$C$1</f>
        <v>46265</v>
      </c>
      <c r="B3" s="8">
        <f>'PowerHouse Data'!D9-'PowerHouse Data'!C9</f>
        <v>0</v>
      </c>
      <c r="C3" s="6">
        <f>'PowerHouse Data'!$D$9</f>
        <v>4033</v>
      </c>
      <c r="D3" s="10">
        <f>$N$3-Table113[[#This Row],[Comp E75 -1
Run Hr]]</f>
        <v>1407</v>
      </c>
      <c r="E3" s="8">
        <f>'PowerHouse Data'!D10-'PowerHouse Data'!C10</f>
        <v>0</v>
      </c>
      <c r="F3" s="6">
        <f>'PowerHouse Data'!$D$10</f>
        <v>6841</v>
      </c>
      <c r="G3" s="10">
        <f>$O$3-Table113[[#This Row],[Comp E75 -2
Run Hr]]</f>
        <v>1225</v>
      </c>
      <c r="H3" s="8">
        <f>'PowerHouse Data'!D11-'PowerHouse Data'!C11</f>
        <v>0</v>
      </c>
      <c r="I3" s="6">
        <f>'PowerHouse Data'!$D$11</f>
        <v>972</v>
      </c>
      <c r="J3" s="10">
        <f>$P$3-Table113[[#This Row],[Comp E75 -3
Run Hr]]</f>
        <v>3028</v>
      </c>
      <c r="K3" s="8">
        <f>'PowerHouse Data'!D12-'PowerHouse Data'!C12</f>
        <v>0</v>
      </c>
      <c r="L3" s="6">
        <f>'PowerHouse Data'!$D$12</f>
        <v>25941</v>
      </c>
      <c r="M3" s="10">
        <f>$Q$3-Table113[[#This Row],[Comp E55 Run Hr]]</f>
        <v>989</v>
      </c>
      <c r="N3" s="15">
        <v>5440</v>
      </c>
      <c r="O3" s="15">
        <v>8066</v>
      </c>
      <c r="P3" s="15">
        <v>4000</v>
      </c>
      <c r="Q3" s="15">
        <v>26930</v>
      </c>
    </row>
    <row r="4" spans="1:17" x14ac:dyDescent="0.35">
      <c r="A4" s="32">
        <f>'PowerHouse Data'!$D$1</f>
        <v>46266</v>
      </c>
      <c r="B4" s="5">
        <f>Table113[[#This Row],[Comp E75 -1
Run Hr]]-C3</f>
        <v>0</v>
      </c>
      <c r="C4" s="6">
        <f>'PowerHouse Data'!$E$9</f>
        <v>4033</v>
      </c>
      <c r="D4" s="10">
        <f>$N$3-Table113[[#This Row],[Comp E75 -1
Run Hr]]</f>
        <v>1407</v>
      </c>
      <c r="E4" s="5">
        <f>Table113[[#This Row],[Comp E75 -2
Run Hr]]-F3</f>
        <v>0</v>
      </c>
      <c r="F4" s="6">
        <f>'PowerHouse Data'!$E$10</f>
        <v>6841</v>
      </c>
      <c r="G4" s="10">
        <f>$O$3-Table113[[#This Row],[Comp E75 -2
Run Hr]]</f>
        <v>1225</v>
      </c>
      <c r="H4" s="5">
        <f>Table113[[#This Row],[Comp E75 -3
Run Hr]]-I3</f>
        <v>0</v>
      </c>
      <c r="I4" s="6">
        <f>'PowerHouse Data'!$E$11</f>
        <v>972</v>
      </c>
      <c r="J4" s="10">
        <f>$P$3-Table113[[#This Row],[Comp E75 -3
Run Hr]]</f>
        <v>3028</v>
      </c>
      <c r="K4" s="5">
        <f>Table113[[#This Row],[Comp E55 Run Hr]]-L3</f>
        <v>0</v>
      </c>
      <c r="L4" s="6">
        <f>'PowerHouse Data'!$E$12</f>
        <v>25941</v>
      </c>
      <c r="M4" s="10">
        <f>$Q$3-Table113[[#This Row],[Comp E55 Run Hr]]</f>
        <v>989</v>
      </c>
      <c r="N4" s="24"/>
      <c r="O4" s="24"/>
      <c r="P4" s="24"/>
      <c r="Q4" s="24"/>
    </row>
    <row r="5" spans="1:17" x14ac:dyDescent="0.35">
      <c r="A5" s="32">
        <f>'PowerHouse Data'!$E$1</f>
        <v>46267</v>
      </c>
      <c r="B5" s="5">
        <f>Table113[[#This Row],[Comp E75 -1
Run Hr]]-C4</f>
        <v>0</v>
      </c>
      <c r="C5" s="6">
        <f>'PowerHouse Data'!$F$9</f>
        <v>4033</v>
      </c>
      <c r="D5" s="10">
        <f>$N$3-Table113[[#This Row],[Comp E75 -1
Run Hr]]</f>
        <v>1407</v>
      </c>
      <c r="E5" s="5">
        <f>Table113[[#This Row],[Comp E75 -2
Run Hr]]-F4</f>
        <v>0</v>
      </c>
      <c r="F5" s="6">
        <f>'PowerHouse Data'!$F$10</f>
        <v>6841</v>
      </c>
      <c r="G5" s="10">
        <f>$O$3-Table113[[#This Row],[Comp E75 -2
Run Hr]]</f>
        <v>1225</v>
      </c>
      <c r="H5" s="5">
        <f>Table113[[#This Row],[Comp E75 -3
Run Hr]]-I4</f>
        <v>0</v>
      </c>
      <c r="I5" s="6">
        <f>'PowerHouse Data'!$F$11</f>
        <v>972</v>
      </c>
      <c r="J5" s="10">
        <f>$P$3-Table113[[#This Row],[Comp E75 -3
Run Hr]]</f>
        <v>3028</v>
      </c>
      <c r="K5" s="5">
        <f>Table113[[#This Row],[Comp E55 Run Hr]]-L4</f>
        <v>0</v>
      </c>
      <c r="L5" s="6">
        <f>'PowerHouse Data'!$F$12</f>
        <v>25941</v>
      </c>
      <c r="M5" s="10">
        <f>$Q$3-Table113[[#This Row],[Comp E55 Run Hr]]</f>
        <v>989</v>
      </c>
      <c r="N5" s="24"/>
      <c r="O5" s="24"/>
      <c r="P5" s="24"/>
      <c r="Q5" s="24"/>
    </row>
    <row r="6" spans="1:17" x14ac:dyDescent="0.35">
      <c r="A6" s="32">
        <f>'PowerHouse Data'!$F$1</f>
        <v>46268</v>
      </c>
      <c r="B6" s="5">
        <f>Table113[[#This Row],[Comp E75 -1
Run Hr]]-C5</f>
        <v>0</v>
      </c>
      <c r="C6" s="6">
        <f>'PowerHouse Data'!$G$9</f>
        <v>4033</v>
      </c>
      <c r="D6" s="10">
        <f>$N$3-Table113[[#This Row],[Comp E75 -1
Run Hr]]</f>
        <v>1407</v>
      </c>
      <c r="E6" s="5">
        <f>Table113[[#This Row],[Comp E75 -2
Run Hr]]-F5</f>
        <v>0</v>
      </c>
      <c r="F6" s="6">
        <f>'PowerHouse Data'!$G$10</f>
        <v>6841</v>
      </c>
      <c r="G6" s="10">
        <f>$O$3-Table113[[#This Row],[Comp E75 -2
Run Hr]]</f>
        <v>1225</v>
      </c>
      <c r="H6" s="5">
        <f>Table113[[#This Row],[Comp E75 -3
Run Hr]]-I5</f>
        <v>0</v>
      </c>
      <c r="I6" s="6">
        <f>'PowerHouse Data'!$G$11</f>
        <v>972</v>
      </c>
      <c r="J6" s="10">
        <f>$P$3-Table113[[#This Row],[Comp E75 -3
Run Hr]]</f>
        <v>3028</v>
      </c>
      <c r="K6" s="5">
        <f>Table113[[#This Row],[Comp E55 Run Hr]]-L5</f>
        <v>0</v>
      </c>
      <c r="L6" s="6">
        <f>'PowerHouse Data'!$G$12</f>
        <v>25941</v>
      </c>
      <c r="M6" s="10">
        <f>$Q$3-Table113[[#This Row],[Comp E55 Run Hr]]</f>
        <v>989</v>
      </c>
      <c r="N6" s="24"/>
      <c r="O6" s="24"/>
      <c r="P6" s="24"/>
      <c r="Q6" s="24"/>
    </row>
    <row r="7" spans="1:17" x14ac:dyDescent="0.35">
      <c r="A7" s="32">
        <f>'PowerHouse Data'!$G$1</f>
        <v>46269</v>
      </c>
      <c r="B7" s="5">
        <f>Table113[[#This Row],[Comp E75 -1
Run Hr]]-C6</f>
        <v>0</v>
      </c>
      <c r="C7" s="6">
        <f>'PowerHouse Data'!$H$9</f>
        <v>4033</v>
      </c>
      <c r="D7" s="10">
        <f>$N$3-Table113[[#This Row],[Comp E75 -1
Run Hr]]</f>
        <v>1407</v>
      </c>
      <c r="E7" s="5">
        <f>Table113[[#This Row],[Comp E75 -2
Run Hr]]-F6</f>
        <v>0</v>
      </c>
      <c r="F7" s="6">
        <f>'PowerHouse Data'!$H$10</f>
        <v>6841</v>
      </c>
      <c r="G7" s="10">
        <f>$O$3-Table113[[#This Row],[Comp E75 -2
Run Hr]]</f>
        <v>1225</v>
      </c>
      <c r="H7" s="5">
        <f>Table113[[#This Row],[Comp E75 -3
Run Hr]]-I6</f>
        <v>0</v>
      </c>
      <c r="I7" s="6">
        <f>'PowerHouse Data'!$H$11</f>
        <v>972</v>
      </c>
      <c r="J7" s="10">
        <f>$P$3-Table113[[#This Row],[Comp E75 -3
Run Hr]]</f>
        <v>3028</v>
      </c>
      <c r="K7" s="5">
        <f>Table113[[#This Row],[Comp E55 Run Hr]]-L6</f>
        <v>0</v>
      </c>
      <c r="L7" s="6">
        <f>'PowerHouse Data'!$H$12</f>
        <v>25941</v>
      </c>
      <c r="M7" s="10">
        <f>$Q$3-Table113[[#This Row],[Comp E55 Run Hr]]</f>
        <v>989</v>
      </c>
      <c r="N7" s="24"/>
      <c r="O7" s="24"/>
      <c r="P7" s="24"/>
      <c r="Q7" s="24"/>
    </row>
    <row r="8" spans="1:17" x14ac:dyDescent="0.35">
      <c r="A8" s="32">
        <f>'PowerHouse Data'!$H$1</f>
        <v>46270</v>
      </c>
      <c r="B8" s="5">
        <f>Table113[[#This Row],[Comp E75 -1
Run Hr]]-C7</f>
        <v>0</v>
      </c>
      <c r="C8" s="6">
        <f>'PowerHouse Data'!$I$9</f>
        <v>4033</v>
      </c>
      <c r="D8" s="10">
        <f>$N$3-Table113[[#This Row],[Comp E75 -1
Run Hr]]</f>
        <v>1407</v>
      </c>
      <c r="E8" s="5">
        <f>Table113[[#This Row],[Comp E75 -2
Run Hr]]-F7</f>
        <v>0</v>
      </c>
      <c r="F8" s="6">
        <f>'PowerHouse Data'!$I$10</f>
        <v>6841</v>
      </c>
      <c r="G8" s="10">
        <f>$O$3-Table113[[#This Row],[Comp E75 -2
Run Hr]]</f>
        <v>1225</v>
      </c>
      <c r="H8" s="5">
        <f>Table113[[#This Row],[Comp E75 -3
Run Hr]]-I7</f>
        <v>0</v>
      </c>
      <c r="I8" s="6">
        <f>'PowerHouse Data'!$I$11</f>
        <v>972</v>
      </c>
      <c r="J8" s="10">
        <f>$P$3-Table113[[#This Row],[Comp E75 -3
Run Hr]]</f>
        <v>3028</v>
      </c>
      <c r="K8" s="5">
        <f>Table113[[#This Row],[Comp E55 Run Hr]]-L7</f>
        <v>0</v>
      </c>
      <c r="L8" s="6">
        <f>'PowerHouse Data'!$I$12</f>
        <v>25941</v>
      </c>
      <c r="M8" s="10">
        <f>$Q$3-Table113[[#This Row],[Comp E55 Run Hr]]</f>
        <v>989</v>
      </c>
      <c r="N8" s="24"/>
      <c r="O8" s="24"/>
      <c r="P8" s="24"/>
      <c r="Q8" s="24"/>
    </row>
    <row r="9" spans="1:17" x14ac:dyDescent="0.35">
      <c r="A9" s="32">
        <f>'PowerHouse Data'!$I$1</f>
        <v>46271</v>
      </c>
      <c r="B9" s="5">
        <f>Table113[[#This Row],[Comp E75 -1
Run Hr]]-C8</f>
        <v>0</v>
      </c>
      <c r="C9" s="6">
        <f>'PowerHouse Data'!$J$9</f>
        <v>4033</v>
      </c>
      <c r="D9" s="10">
        <f>$N$3-Table113[[#This Row],[Comp E75 -1
Run Hr]]</f>
        <v>1407</v>
      </c>
      <c r="E9" s="5">
        <f>Table113[[#This Row],[Comp E75 -2
Run Hr]]-F8</f>
        <v>0</v>
      </c>
      <c r="F9" s="6">
        <f>'PowerHouse Data'!$J$10</f>
        <v>6841</v>
      </c>
      <c r="G9" s="10">
        <f>$O$3-Table113[[#This Row],[Comp E75 -2
Run Hr]]</f>
        <v>1225</v>
      </c>
      <c r="H9" s="5">
        <f>Table113[[#This Row],[Comp E75 -3
Run Hr]]-I8</f>
        <v>0</v>
      </c>
      <c r="I9" s="6">
        <f>'PowerHouse Data'!$J$11</f>
        <v>972</v>
      </c>
      <c r="J9" s="10">
        <f>$P$3-Table113[[#This Row],[Comp E75 -3
Run Hr]]</f>
        <v>3028</v>
      </c>
      <c r="K9" s="5">
        <f>Table113[[#This Row],[Comp E55 Run Hr]]-L8</f>
        <v>0</v>
      </c>
      <c r="L9" s="6">
        <f>'PowerHouse Data'!$J$12</f>
        <v>25941</v>
      </c>
      <c r="M9" s="10">
        <f>$Q$3-Table113[[#This Row],[Comp E55 Run Hr]]</f>
        <v>989</v>
      </c>
      <c r="N9" s="24"/>
      <c r="O9" s="24"/>
      <c r="P9" s="24"/>
      <c r="Q9" s="24"/>
    </row>
    <row r="10" spans="1:17" x14ac:dyDescent="0.35">
      <c r="A10" s="32">
        <f>'PowerHouse Data'!$J$1</f>
        <v>46272</v>
      </c>
      <c r="B10" s="5">
        <f>Table113[[#This Row],[Comp E75 -1
Run Hr]]-C9</f>
        <v>0</v>
      </c>
      <c r="C10" s="6">
        <f>'PowerHouse Data'!$K$9</f>
        <v>4033</v>
      </c>
      <c r="D10" s="10">
        <f>$N$3-Table113[[#This Row],[Comp E75 -1
Run Hr]]</f>
        <v>1407</v>
      </c>
      <c r="E10" s="5">
        <f>Table113[[#This Row],[Comp E75 -2
Run Hr]]-F9</f>
        <v>0</v>
      </c>
      <c r="F10" s="6">
        <f>'PowerHouse Data'!$K$10</f>
        <v>6841</v>
      </c>
      <c r="G10" s="10">
        <f>$O$3-Table113[[#This Row],[Comp E75 -2
Run Hr]]</f>
        <v>1225</v>
      </c>
      <c r="H10" s="5">
        <f>Table113[[#This Row],[Comp E75 -3
Run Hr]]-I9</f>
        <v>0</v>
      </c>
      <c r="I10" s="6">
        <f>'PowerHouse Data'!$K$11</f>
        <v>972</v>
      </c>
      <c r="J10" s="10">
        <f>$P$3-Table113[[#This Row],[Comp E75 -3
Run Hr]]</f>
        <v>3028</v>
      </c>
      <c r="K10" s="5">
        <f>Table113[[#This Row],[Comp E55 Run Hr]]-L9</f>
        <v>0</v>
      </c>
      <c r="L10" s="6">
        <f>'PowerHouse Data'!$K$12</f>
        <v>25941</v>
      </c>
      <c r="M10" s="10">
        <f>$Q$3-Table113[[#This Row],[Comp E55 Run Hr]]</f>
        <v>989</v>
      </c>
      <c r="N10" s="24"/>
      <c r="O10" s="24"/>
      <c r="P10" s="24"/>
      <c r="Q10" s="24"/>
    </row>
    <row r="11" spans="1:17" x14ac:dyDescent="0.35">
      <c r="A11" s="32">
        <f>'PowerHouse Data'!$K$1</f>
        <v>46273</v>
      </c>
      <c r="B11" s="5">
        <f>Table113[[#This Row],[Comp E75 -1
Run Hr]]-C10</f>
        <v>0</v>
      </c>
      <c r="C11" s="6">
        <f>'PowerHouse Data'!$L$9</f>
        <v>4033</v>
      </c>
      <c r="D11" s="10">
        <f>$N$3-Table113[[#This Row],[Comp E75 -1
Run Hr]]</f>
        <v>1407</v>
      </c>
      <c r="E11" s="5">
        <f>Table113[[#This Row],[Comp E75 -2
Run Hr]]-F10</f>
        <v>0</v>
      </c>
      <c r="F11" s="6">
        <f>'PowerHouse Data'!$L$10</f>
        <v>6841</v>
      </c>
      <c r="G11" s="10">
        <f>$O$3-Table113[[#This Row],[Comp E75 -2
Run Hr]]</f>
        <v>1225</v>
      </c>
      <c r="H11" s="5">
        <f>Table113[[#This Row],[Comp E75 -3
Run Hr]]-I10</f>
        <v>0</v>
      </c>
      <c r="I11" s="6">
        <f>'PowerHouse Data'!$L$11</f>
        <v>972</v>
      </c>
      <c r="J11" s="10">
        <f>$P$3-Table113[[#This Row],[Comp E75 -3
Run Hr]]</f>
        <v>3028</v>
      </c>
      <c r="K11" s="5">
        <f>Table113[[#This Row],[Comp E55 Run Hr]]-L10</f>
        <v>0</v>
      </c>
      <c r="L11" s="6">
        <f>'PowerHouse Data'!$L$12</f>
        <v>25941</v>
      </c>
      <c r="M11" s="10">
        <f>$Q$3-Table113[[#This Row],[Comp E55 Run Hr]]</f>
        <v>989</v>
      </c>
      <c r="N11" s="24"/>
      <c r="O11" s="24"/>
      <c r="P11" s="24"/>
      <c r="Q11" s="24"/>
    </row>
    <row r="12" spans="1:17" x14ac:dyDescent="0.35">
      <c r="A12" s="32">
        <f>'PowerHouse Data'!$L$1</f>
        <v>46274</v>
      </c>
      <c r="B12" s="5">
        <f>Table113[[#This Row],[Comp E75 -1
Run Hr]]-C11</f>
        <v>0</v>
      </c>
      <c r="C12" s="6">
        <f>'PowerHouse Data'!$M$9</f>
        <v>4033</v>
      </c>
      <c r="D12" s="10">
        <f>$N$3-Table113[[#This Row],[Comp E75 -1
Run Hr]]</f>
        <v>1407</v>
      </c>
      <c r="E12" s="5">
        <f>Table113[[#This Row],[Comp E75 -2
Run Hr]]-F11</f>
        <v>0</v>
      </c>
      <c r="F12" s="6">
        <f>'PowerHouse Data'!$M$10</f>
        <v>6841</v>
      </c>
      <c r="G12" s="10">
        <f>$O$3-Table113[[#This Row],[Comp E75 -2
Run Hr]]</f>
        <v>1225</v>
      </c>
      <c r="H12" s="5">
        <f>Table113[[#This Row],[Comp E75 -3
Run Hr]]-I11</f>
        <v>0</v>
      </c>
      <c r="I12" s="6">
        <f>'PowerHouse Data'!$M$11</f>
        <v>972</v>
      </c>
      <c r="J12" s="10">
        <f>$P$3-Table113[[#This Row],[Comp E75 -3
Run Hr]]</f>
        <v>3028</v>
      </c>
      <c r="K12" s="5">
        <f>Table113[[#This Row],[Comp E55 Run Hr]]-L11</f>
        <v>0</v>
      </c>
      <c r="L12" s="6">
        <f>'PowerHouse Data'!$M$12</f>
        <v>25941</v>
      </c>
      <c r="M12" s="10">
        <f>$Q$3-Table113[[#This Row],[Comp E55 Run Hr]]</f>
        <v>989</v>
      </c>
      <c r="N12" s="24"/>
      <c r="O12" s="24"/>
      <c r="P12" s="24"/>
      <c r="Q12" s="24"/>
    </row>
    <row r="13" spans="1:17" x14ac:dyDescent="0.35">
      <c r="A13" s="32">
        <f>'PowerHouse Data'!$M$1</f>
        <v>46275</v>
      </c>
      <c r="B13" s="5">
        <f>Table113[[#This Row],[Comp E75 -1
Run Hr]]-C12</f>
        <v>0</v>
      </c>
      <c r="C13" s="6">
        <f>'PowerHouse Data'!$N$9</f>
        <v>4033</v>
      </c>
      <c r="D13" s="10">
        <f>$N$3-Table113[[#This Row],[Comp E75 -1
Run Hr]]</f>
        <v>1407</v>
      </c>
      <c r="E13" s="5">
        <f>Table113[[#This Row],[Comp E75 -2
Run Hr]]-F12</f>
        <v>0</v>
      </c>
      <c r="F13" s="6">
        <f>'PowerHouse Data'!$N$10</f>
        <v>6841</v>
      </c>
      <c r="G13" s="10">
        <f>$O$3-Table113[[#This Row],[Comp E75 -2
Run Hr]]</f>
        <v>1225</v>
      </c>
      <c r="H13" s="5">
        <f>Table113[[#This Row],[Comp E75 -3
Run Hr]]-I12</f>
        <v>0</v>
      </c>
      <c r="I13" s="6">
        <f>'PowerHouse Data'!$N$11</f>
        <v>972</v>
      </c>
      <c r="J13" s="10">
        <f>$P$3-Table113[[#This Row],[Comp E75 -3
Run Hr]]</f>
        <v>3028</v>
      </c>
      <c r="K13" s="5">
        <f>Table113[[#This Row],[Comp E55 Run Hr]]-L12</f>
        <v>0</v>
      </c>
      <c r="L13" s="6">
        <f>'PowerHouse Data'!$N$12</f>
        <v>25941</v>
      </c>
      <c r="M13" s="10">
        <f>$Q$3-Table113[[#This Row],[Comp E55 Run Hr]]</f>
        <v>989</v>
      </c>
      <c r="N13" s="24"/>
      <c r="O13" s="24"/>
      <c r="P13" s="24"/>
      <c r="Q13" s="24"/>
    </row>
    <row r="14" spans="1:17" x14ac:dyDescent="0.35">
      <c r="A14" s="32">
        <f>'PowerHouse Data'!$N$1</f>
        <v>46276</v>
      </c>
      <c r="B14" s="5">
        <f>Table113[[#This Row],[Comp E75 -1
Run Hr]]-C13</f>
        <v>0</v>
      </c>
      <c r="C14" s="6">
        <f>'PowerHouse Data'!$O$9</f>
        <v>4033</v>
      </c>
      <c r="D14" s="10">
        <f>$N$3-Table113[[#This Row],[Comp E75 -1
Run Hr]]</f>
        <v>1407</v>
      </c>
      <c r="E14" s="5">
        <f>Table113[[#This Row],[Comp E75 -2
Run Hr]]-F13</f>
        <v>0</v>
      </c>
      <c r="F14" s="6">
        <f>'PowerHouse Data'!$O$10</f>
        <v>6841</v>
      </c>
      <c r="G14" s="10">
        <f>$O$3-Table113[[#This Row],[Comp E75 -2
Run Hr]]</f>
        <v>1225</v>
      </c>
      <c r="H14" s="5">
        <f>Table113[[#This Row],[Comp E75 -3
Run Hr]]-I13</f>
        <v>0</v>
      </c>
      <c r="I14" s="6">
        <f>'PowerHouse Data'!$O$11</f>
        <v>972</v>
      </c>
      <c r="J14" s="10">
        <f>$P$3-Table113[[#This Row],[Comp E75 -3
Run Hr]]</f>
        <v>3028</v>
      </c>
      <c r="K14" s="5">
        <f>Table113[[#This Row],[Comp E55 Run Hr]]-L13</f>
        <v>0</v>
      </c>
      <c r="L14" s="6">
        <f>'PowerHouse Data'!$O$12</f>
        <v>25941</v>
      </c>
      <c r="M14" s="10">
        <f>$Q$3-Table113[[#This Row],[Comp E55 Run Hr]]</f>
        <v>989</v>
      </c>
      <c r="N14" s="24"/>
      <c r="O14" s="24"/>
      <c r="P14" s="24"/>
      <c r="Q14" s="24"/>
    </row>
    <row r="15" spans="1:17" x14ac:dyDescent="0.35">
      <c r="A15" s="32">
        <f>'PowerHouse Data'!$O$1</f>
        <v>46277</v>
      </c>
      <c r="B15" s="5">
        <f>Table113[[#This Row],[Comp E75 -1
Run Hr]]-C14</f>
        <v>0</v>
      </c>
      <c r="C15" s="6">
        <f>'PowerHouse Data'!$P$9</f>
        <v>4033</v>
      </c>
      <c r="D15" s="10">
        <f>$N$3-Table113[[#This Row],[Comp E75 -1
Run Hr]]</f>
        <v>1407</v>
      </c>
      <c r="E15" s="5">
        <f>Table113[[#This Row],[Comp E75 -2
Run Hr]]-F14</f>
        <v>0</v>
      </c>
      <c r="F15" s="6">
        <f>'PowerHouse Data'!$P$10</f>
        <v>6841</v>
      </c>
      <c r="G15" s="10">
        <f>$O$3-Table113[[#This Row],[Comp E75 -2
Run Hr]]</f>
        <v>1225</v>
      </c>
      <c r="H15" s="5">
        <f>Table113[[#This Row],[Comp E75 -3
Run Hr]]-I14</f>
        <v>0</v>
      </c>
      <c r="I15" s="6">
        <f>'PowerHouse Data'!$P$11</f>
        <v>972</v>
      </c>
      <c r="J15" s="10">
        <f>$P$3-Table113[[#This Row],[Comp E75 -3
Run Hr]]</f>
        <v>3028</v>
      </c>
      <c r="K15" s="5">
        <f>Table113[[#This Row],[Comp E55 Run Hr]]-L14</f>
        <v>0</v>
      </c>
      <c r="L15" s="6">
        <f>'PowerHouse Data'!$P$12</f>
        <v>25941</v>
      </c>
      <c r="M15" s="10">
        <f>$Q$3-Table113[[#This Row],[Comp E55 Run Hr]]</f>
        <v>989</v>
      </c>
      <c r="N15" s="24"/>
      <c r="O15" s="24"/>
      <c r="P15" s="24"/>
      <c r="Q15" s="24"/>
    </row>
    <row r="16" spans="1:17" x14ac:dyDescent="0.35">
      <c r="A16" s="32">
        <f>'PowerHouse Data'!$P$1</f>
        <v>46278</v>
      </c>
      <c r="B16" s="5">
        <f>Table113[[#This Row],[Comp E75 -1
Run Hr]]-C15</f>
        <v>0</v>
      </c>
      <c r="C16" s="6">
        <f>'PowerHouse Data'!$Q$9</f>
        <v>4033</v>
      </c>
      <c r="D16" s="10">
        <f>$N$3-Table113[[#This Row],[Comp E75 -1
Run Hr]]</f>
        <v>1407</v>
      </c>
      <c r="E16" s="5">
        <f>Table113[[#This Row],[Comp E75 -2
Run Hr]]-F15</f>
        <v>0</v>
      </c>
      <c r="F16" s="6">
        <f>'PowerHouse Data'!$Q$10</f>
        <v>6841</v>
      </c>
      <c r="G16" s="10">
        <f>$O$3-Table113[[#This Row],[Comp E75 -2
Run Hr]]</f>
        <v>1225</v>
      </c>
      <c r="H16" s="5">
        <f>Table113[[#This Row],[Comp E75 -3
Run Hr]]-I15</f>
        <v>0</v>
      </c>
      <c r="I16" s="6">
        <f>'PowerHouse Data'!$Q$11</f>
        <v>972</v>
      </c>
      <c r="J16" s="10">
        <f>$P$3-Table113[[#This Row],[Comp E75 -3
Run Hr]]</f>
        <v>3028</v>
      </c>
      <c r="K16" s="5">
        <f>Table113[[#This Row],[Comp E55 Run Hr]]-L15</f>
        <v>0</v>
      </c>
      <c r="L16" s="6">
        <f>'PowerHouse Data'!$Q$12</f>
        <v>25941</v>
      </c>
      <c r="M16" s="10">
        <f>$Q$3-Table113[[#This Row],[Comp E55 Run Hr]]</f>
        <v>989</v>
      </c>
      <c r="N16" s="24"/>
      <c r="O16" s="24"/>
      <c r="P16" s="24"/>
      <c r="Q16" s="24"/>
    </row>
    <row r="17" spans="1:17" x14ac:dyDescent="0.35">
      <c r="A17" s="32">
        <f>'PowerHouse Data'!$Q$1</f>
        <v>46279</v>
      </c>
      <c r="B17" s="5">
        <f>Table113[[#This Row],[Comp E75 -1
Run Hr]]-C16</f>
        <v>0</v>
      </c>
      <c r="C17" s="6">
        <f>'PowerHouse Data'!$R$9</f>
        <v>4033</v>
      </c>
      <c r="D17" s="10">
        <f>$N$3-Table113[[#This Row],[Comp E75 -1
Run Hr]]</f>
        <v>1407</v>
      </c>
      <c r="E17" s="5">
        <f>Table113[[#This Row],[Comp E75 -2
Run Hr]]-F16</f>
        <v>0</v>
      </c>
      <c r="F17" s="6">
        <f>'PowerHouse Data'!$R$10</f>
        <v>6841</v>
      </c>
      <c r="G17" s="10">
        <f>$O$3-Table113[[#This Row],[Comp E75 -2
Run Hr]]</f>
        <v>1225</v>
      </c>
      <c r="H17" s="5">
        <f>Table113[[#This Row],[Comp E75 -3
Run Hr]]-I16</f>
        <v>0</v>
      </c>
      <c r="I17" s="6">
        <f>'PowerHouse Data'!$R$11</f>
        <v>972</v>
      </c>
      <c r="J17" s="10">
        <f>$P$3-Table113[[#This Row],[Comp E75 -3
Run Hr]]</f>
        <v>3028</v>
      </c>
      <c r="K17" s="5">
        <f>Table113[[#This Row],[Comp E55 Run Hr]]-L16</f>
        <v>0</v>
      </c>
      <c r="L17" s="6">
        <f>'PowerHouse Data'!$R$12</f>
        <v>25941</v>
      </c>
      <c r="M17" s="10">
        <f>$Q$3-Table113[[#This Row],[Comp E55 Run Hr]]</f>
        <v>989</v>
      </c>
      <c r="N17" s="24"/>
      <c r="O17" s="24"/>
      <c r="P17" s="24"/>
      <c r="Q17" s="24"/>
    </row>
    <row r="18" spans="1:17" x14ac:dyDescent="0.35">
      <c r="A18" s="32">
        <f>'PowerHouse Data'!$R$1</f>
        <v>46280</v>
      </c>
      <c r="B18" s="5">
        <f>Table113[[#This Row],[Comp E75 -1
Run Hr]]-C17</f>
        <v>0</v>
      </c>
      <c r="C18" s="6">
        <f>'PowerHouse Data'!$S$9</f>
        <v>4033</v>
      </c>
      <c r="D18" s="10">
        <f>$N$3-Table113[[#This Row],[Comp E75 -1
Run Hr]]</f>
        <v>1407</v>
      </c>
      <c r="E18" s="5">
        <f>Table113[[#This Row],[Comp E75 -2
Run Hr]]-F17</f>
        <v>0</v>
      </c>
      <c r="F18" s="6">
        <f>'PowerHouse Data'!$S$10</f>
        <v>6841</v>
      </c>
      <c r="G18" s="10">
        <f>$O$3-Table113[[#This Row],[Comp E75 -2
Run Hr]]</f>
        <v>1225</v>
      </c>
      <c r="H18" s="5">
        <f>Table113[[#This Row],[Comp E75 -3
Run Hr]]-I17</f>
        <v>0</v>
      </c>
      <c r="I18" s="6">
        <f>'PowerHouse Data'!$S$11</f>
        <v>972</v>
      </c>
      <c r="J18" s="10">
        <f>$P$3-Table113[[#This Row],[Comp E75 -3
Run Hr]]</f>
        <v>3028</v>
      </c>
      <c r="K18" s="5">
        <f>Table113[[#This Row],[Comp E55 Run Hr]]-L17</f>
        <v>0</v>
      </c>
      <c r="L18" s="6">
        <f>'PowerHouse Data'!$S$12</f>
        <v>25941</v>
      </c>
      <c r="M18" s="10">
        <f>$Q$3-Table113[[#This Row],[Comp E55 Run Hr]]</f>
        <v>989</v>
      </c>
      <c r="N18" s="24"/>
      <c r="O18" s="24"/>
      <c r="P18" s="24"/>
      <c r="Q18" s="24"/>
    </row>
    <row r="19" spans="1:17" x14ac:dyDescent="0.35">
      <c r="A19" s="32">
        <f>'PowerHouse Data'!$S$1</f>
        <v>46281</v>
      </c>
      <c r="B19" s="5">
        <f>Table113[[#This Row],[Comp E75 -1
Run Hr]]-C18</f>
        <v>-4033</v>
      </c>
      <c r="C19" s="6">
        <f>'PowerHouse Data'!$T$9</f>
        <v>0</v>
      </c>
      <c r="D19" s="10">
        <f>$N$3-Table113[[#This Row],[Comp E75 -1
Run Hr]]</f>
        <v>5440</v>
      </c>
      <c r="E19" s="5">
        <f>Table113[[#This Row],[Comp E75 -2
Run Hr]]-F18</f>
        <v>-6841</v>
      </c>
      <c r="F19" s="6">
        <f>'PowerHouse Data'!$T$10</f>
        <v>0</v>
      </c>
      <c r="G19" s="10">
        <f>$O$3-Table113[[#This Row],[Comp E75 -2
Run Hr]]</f>
        <v>8066</v>
      </c>
      <c r="H19" s="5">
        <f>Table113[[#This Row],[Comp E75 -3
Run Hr]]-I18</f>
        <v>-972</v>
      </c>
      <c r="I19" s="6">
        <f>'PowerHouse Data'!$T$11</f>
        <v>0</v>
      </c>
      <c r="J19" s="10">
        <f>$P$3-Table113[[#This Row],[Comp E75 -3
Run Hr]]</f>
        <v>4000</v>
      </c>
      <c r="K19" s="5">
        <f>Table113[[#This Row],[Comp E55 Run Hr]]-L18</f>
        <v>-25941</v>
      </c>
      <c r="L19" s="6">
        <f>'PowerHouse Data'!$T$12</f>
        <v>0</v>
      </c>
      <c r="M19" s="10">
        <f>$Q$3-Table113[[#This Row],[Comp E55 Run Hr]]</f>
        <v>26930</v>
      </c>
      <c r="N19" s="24"/>
      <c r="O19" s="24"/>
      <c r="P19" s="24"/>
      <c r="Q19" s="24"/>
    </row>
    <row r="20" spans="1:17" x14ac:dyDescent="0.35">
      <c r="A20" s="32">
        <f>'PowerHouse Data'!$T$1</f>
        <v>46282</v>
      </c>
      <c r="B20" s="5">
        <f>Table113[[#This Row],[Comp E75 -1
Run Hr]]-C19</f>
        <v>0</v>
      </c>
      <c r="C20" s="6">
        <f>'PowerHouse Data'!$U$9</f>
        <v>0</v>
      </c>
      <c r="D20" s="10">
        <f>$N$3-Table113[[#This Row],[Comp E75 -1
Run Hr]]</f>
        <v>5440</v>
      </c>
      <c r="E20" s="5">
        <f>Table113[[#This Row],[Comp E75 -2
Run Hr]]-F19</f>
        <v>0</v>
      </c>
      <c r="F20" s="6">
        <f>'PowerHouse Data'!$U$10</f>
        <v>0</v>
      </c>
      <c r="G20" s="10">
        <f>$O$3-Table113[[#This Row],[Comp E75 -2
Run Hr]]</f>
        <v>8066</v>
      </c>
      <c r="H20" s="5">
        <f>Table113[[#This Row],[Comp E75 -3
Run Hr]]-I19</f>
        <v>0</v>
      </c>
      <c r="I20" s="6">
        <f>'PowerHouse Data'!$U$11</f>
        <v>0</v>
      </c>
      <c r="J20" s="10">
        <f>$P$3-Table113[[#This Row],[Comp E75 -3
Run Hr]]</f>
        <v>4000</v>
      </c>
      <c r="K20" s="5">
        <f>Table113[[#This Row],[Comp E55 Run Hr]]-L19</f>
        <v>0</v>
      </c>
      <c r="L20" s="6">
        <f>'PowerHouse Data'!$U$12</f>
        <v>0</v>
      </c>
      <c r="M20" s="10">
        <f>$Q$3-Table113[[#This Row],[Comp E55 Run Hr]]</f>
        <v>26930</v>
      </c>
      <c r="N20" s="24"/>
      <c r="O20" s="24"/>
      <c r="P20" s="24"/>
      <c r="Q20" s="24"/>
    </row>
    <row r="21" spans="1:17" x14ac:dyDescent="0.35">
      <c r="A21" s="32">
        <f>'PowerHouse Data'!$U$1</f>
        <v>46283</v>
      </c>
      <c r="B21" s="5">
        <f>Table113[[#This Row],[Comp E75 -1
Run Hr]]-C20</f>
        <v>0</v>
      </c>
      <c r="C21" s="6">
        <f>'PowerHouse Data'!$V$9</f>
        <v>0</v>
      </c>
      <c r="D21" s="10">
        <f>$N$3-Table113[[#This Row],[Comp E75 -1
Run Hr]]</f>
        <v>5440</v>
      </c>
      <c r="E21" s="5">
        <f>Table113[[#This Row],[Comp E75 -2
Run Hr]]-F20</f>
        <v>0</v>
      </c>
      <c r="F21" s="6">
        <f>'PowerHouse Data'!$V$10</f>
        <v>0</v>
      </c>
      <c r="G21" s="10">
        <f>$O$3-Table113[[#This Row],[Comp E75 -2
Run Hr]]</f>
        <v>8066</v>
      </c>
      <c r="H21" s="5">
        <f>Table113[[#This Row],[Comp E75 -3
Run Hr]]-I20</f>
        <v>0</v>
      </c>
      <c r="I21" s="6">
        <f>'PowerHouse Data'!$V$11</f>
        <v>0</v>
      </c>
      <c r="J21" s="10">
        <f>$P$3-Table113[[#This Row],[Comp E75 -3
Run Hr]]</f>
        <v>4000</v>
      </c>
      <c r="K21" s="5">
        <f>Table113[[#This Row],[Comp E55 Run Hr]]-L20</f>
        <v>0</v>
      </c>
      <c r="L21" s="6">
        <f>'PowerHouse Data'!$V$12</f>
        <v>0</v>
      </c>
      <c r="M21" s="10">
        <f>$Q$3-Table113[[#This Row],[Comp E55 Run Hr]]</f>
        <v>26930</v>
      </c>
      <c r="N21" s="24"/>
      <c r="O21" s="24"/>
      <c r="P21" s="24"/>
      <c r="Q21" s="24"/>
    </row>
    <row r="22" spans="1:17" x14ac:dyDescent="0.35">
      <c r="A22" s="32">
        <f>'PowerHouse Data'!$V$1</f>
        <v>46284</v>
      </c>
      <c r="B22" s="5">
        <f>Table113[[#This Row],[Comp E75 -1
Run Hr]]-C21</f>
        <v>0</v>
      </c>
      <c r="C22" s="6">
        <f>'PowerHouse Data'!$W$9</f>
        <v>0</v>
      </c>
      <c r="D22" s="10">
        <f>$N$3-Table113[[#This Row],[Comp E75 -1
Run Hr]]</f>
        <v>5440</v>
      </c>
      <c r="E22" s="5">
        <f>Table113[[#This Row],[Comp E75 -2
Run Hr]]-F21</f>
        <v>0</v>
      </c>
      <c r="F22" s="6">
        <f>'PowerHouse Data'!$W$10</f>
        <v>0</v>
      </c>
      <c r="G22" s="10">
        <f>$O$3-Table113[[#This Row],[Comp E75 -2
Run Hr]]</f>
        <v>8066</v>
      </c>
      <c r="H22" s="5">
        <f>Table113[[#This Row],[Comp E75 -3
Run Hr]]-I21</f>
        <v>0</v>
      </c>
      <c r="I22" s="6">
        <f>'PowerHouse Data'!$W$11</f>
        <v>0</v>
      </c>
      <c r="J22" s="10">
        <f>$P$3-Table113[[#This Row],[Comp E75 -3
Run Hr]]</f>
        <v>4000</v>
      </c>
      <c r="K22" s="5">
        <f>Table113[[#This Row],[Comp E55 Run Hr]]-L21</f>
        <v>0</v>
      </c>
      <c r="L22" s="6">
        <f>'PowerHouse Data'!$W$12</f>
        <v>0</v>
      </c>
      <c r="M22" s="10">
        <f>$Q$3-Table113[[#This Row],[Comp E55 Run Hr]]</f>
        <v>26930</v>
      </c>
      <c r="N22" s="24"/>
      <c r="O22" s="24"/>
      <c r="P22" s="24"/>
      <c r="Q22" s="24"/>
    </row>
    <row r="23" spans="1:17" x14ac:dyDescent="0.35">
      <c r="A23" s="32">
        <f>'PowerHouse Data'!$W$1</f>
        <v>46285</v>
      </c>
      <c r="B23" s="5">
        <f>Table113[[#This Row],[Comp E75 -1
Run Hr]]-C22</f>
        <v>0</v>
      </c>
      <c r="C23" s="6">
        <f>'PowerHouse Data'!$X$9</f>
        <v>0</v>
      </c>
      <c r="D23" s="10">
        <f>$N$3-Table113[[#This Row],[Comp E75 -1
Run Hr]]</f>
        <v>5440</v>
      </c>
      <c r="E23" s="5">
        <f>Table113[[#This Row],[Comp E75 -2
Run Hr]]-F22</f>
        <v>0</v>
      </c>
      <c r="F23" s="6">
        <f>'PowerHouse Data'!$X$10</f>
        <v>0</v>
      </c>
      <c r="G23" s="10">
        <f>$O$3-Table113[[#This Row],[Comp E75 -2
Run Hr]]</f>
        <v>8066</v>
      </c>
      <c r="H23" s="5">
        <f>Table113[[#This Row],[Comp E75 -3
Run Hr]]-I22</f>
        <v>0</v>
      </c>
      <c r="I23" s="6">
        <f>'PowerHouse Data'!$X$11</f>
        <v>0</v>
      </c>
      <c r="J23" s="10">
        <f>$P$3-Table113[[#This Row],[Comp E75 -3
Run Hr]]</f>
        <v>4000</v>
      </c>
      <c r="K23" s="5">
        <f>Table113[[#This Row],[Comp E55 Run Hr]]-L22</f>
        <v>0</v>
      </c>
      <c r="L23" s="6">
        <f>'PowerHouse Data'!$X$12</f>
        <v>0</v>
      </c>
      <c r="M23" s="10">
        <f>$Q$3-Table113[[#This Row],[Comp E55 Run Hr]]</f>
        <v>26930</v>
      </c>
      <c r="N23" s="24"/>
      <c r="O23" s="24"/>
      <c r="P23" s="24"/>
      <c r="Q23" s="24"/>
    </row>
    <row r="24" spans="1:17" x14ac:dyDescent="0.35">
      <c r="A24" s="32">
        <f>'PowerHouse Data'!$X$1</f>
        <v>46286</v>
      </c>
      <c r="B24" s="5">
        <f>Table113[[#This Row],[Comp E75 -1
Run Hr]]-C23</f>
        <v>0</v>
      </c>
      <c r="C24" s="6">
        <f>'PowerHouse Data'!$Y$9</f>
        <v>0</v>
      </c>
      <c r="D24" s="10">
        <f>$N$3-Table113[[#This Row],[Comp E75 -1
Run Hr]]</f>
        <v>5440</v>
      </c>
      <c r="E24" s="5">
        <f>Table113[[#This Row],[Comp E75 -2
Run Hr]]-F23</f>
        <v>0</v>
      </c>
      <c r="F24" s="6">
        <f>'PowerHouse Data'!$Y$10</f>
        <v>0</v>
      </c>
      <c r="G24" s="10">
        <f>$O$3-Table113[[#This Row],[Comp E75 -2
Run Hr]]</f>
        <v>8066</v>
      </c>
      <c r="H24" s="5">
        <f>Table113[[#This Row],[Comp E75 -3
Run Hr]]-I23</f>
        <v>0</v>
      </c>
      <c r="I24" s="6">
        <f>'PowerHouse Data'!$Y$11</f>
        <v>0</v>
      </c>
      <c r="J24" s="10">
        <f>$P$3-Table113[[#This Row],[Comp E75 -3
Run Hr]]</f>
        <v>4000</v>
      </c>
      <c r="K24" s="5">
        <f>Table113[[#This Row],[Comp E55 Run Hr]]-L23</f>
        <v>0</v>
      </c>
      <c r="L24" s="6">
        <f>'PowerHouse Data'!$Y$12</f>
        <v>0</v>
      </c>
      <c r="M24" s="10">
        <f>$Q$3-Table113[[#This Row],[Comp E55 Run Hr]]</f>
        <v>26930</v>
      </c>
      <c r="N24" s="24"/>
      <c r="O24" s="24"/>
      <c r="P24" s="24"/>
      <c r="Q24" s="24"/>
    </row>
    <row r="25" spans="1:17" x14ac:dyDescent="0.35">
      <c r="A25" s="32">
        <f>'PowerHouse Data'!$Y$1</f>
        <v>46287</v>
      </c>
      <c r="B25" s="5">
        <f>Table113[[#This Row],[Comp E75 -1
Run Hr]]-C24</f>
        <v>0</v>
      </c>
      <c r="C25" s="6">
        <f>'PowerHouse Data'!$Z$9</f>
        <v>0</v>
      </c>
      <c r="D25" s="10">
        <f>$N$3-Table113[[#This Row],[Comp E75 -1
Run Hr]]</f>
        <v>5440</v>
      </c>
      <c r="E25" s="5">
        <f>Table113[[#This Row],[Comp E75 -2
Run Hr]]-F24</f>
        <v>0</v>
      </c>
      <c r="F25" s="6">
        <f>'PowerHouse Data'!$Z$10</f>
        <v>0</v>
      </c>
      <c r="G25" s="10">
        <f>$O$3-Table113[[#This Row],[Comp E75 -2
Run Hr]]</f>
        <v>8066</v>
      </c>
      <c r="H25" s="5">
        <f>Table113[[#This Row],[Comp E75 -3
Run Hr]]-I24</f>
        <v>0</v>
      </c>
      <c r="I25" s="6">
        <f>'PowerHouse Data'!$Z$11</f>
        <v>0</v>
      </c>
      <c r="J25" s="10">
        <f>$P$3-Table113[[#This Row],[Comp E75 -3
Run Hr]]</f>
        <v>4000</v>
      </c>
      <c r="K25" s="5">
        <f>Table113[[#This Row],[Comp E55 Run Hr]]-L24</f>
        <v>0</v>
      </c>
      <c r="L25" s="6">
        <f>'PowerHouse Data'!$Z$12</f>
        <v>0</v>
      </c>
      <c r="M25" s="10">
        <f>$Q$3-Table113[[#This Row],[Comp E55 Run Hr]]</f>
        <v>26930</v>
      </c>
      <c r="N25" s="24"/>
      <c r="O25" s="24"/>
      <c r="P25" s="24"/>
      <c r="Q25" s="24"/>
    </row>
    <row r="26" spans="1:17" x14ac:dyDescent="0.35">
      <c r="A26" s="32">
        <f>'PowerHouse Data'!$Z$1</f>
        <v>46288</v>
      </c>
      <c r="B26" s="5">
        <f>Table113[[#This Row],[Comp E75 -1
Run Hr]]-C25</f>
        <v>0</v>
      </c>
      <c r="C26" s="6">
        <f>'PowerHouse Data'!$AA$9</f>
        <v>0</v>
      </c>
      <c r="D26" s="10">
        <f>$N$3-Table113[[#This Row],[Comp E75 -1
Run Hr]]</f>
        <v>5440</v>
      </c>
      <c r="E26" s="5">
        <f>Table113[[#This Row],[Comp E75 -2
Run Hr]]-F25</f>
        <v>0</v>
      </c>
      <c r="F26" s="6">
        <f>'PowerHouse Data'!$AA$10</f>
        <v>0</v>
      </c>
      <c r="G26" s="10">
        <f>$O$3-Table113[[#This Row],[Comp E75 -2
Run Hr]]</f>
        <v>8066</v>
      </c>
      <c r="H26" s="5">
        <f>Table113[[#This Row],[Comp E75 -3
Run Hr]]-I25</f>
        <v>0</v>
      </c>
      <c r="I26" s="6">
        <f>'PowerHouse Data'!$AA$11</f>
        <v>0</v>
      </c>
      <c r="J26" s="10">
        <f>$P$3-Table113[[#This Row],[Comp E75 -3
Run Hr]]</f>
        <v>4000</v>
      </c>
      <c r="K26" s="5">
        <f>Table113[[#This Row],[Comp E55 Run Hr]]-L25</f>
        <v>0</v>
      </c>
      <c r="L26" s="6">
        <f>'PowerHouse Data'!$AA$12</f>
        <v>0</v>
      </c>
      <c r="M26" s="10">
        <f>$Q$3-Table113[[#This Row],[Comp E55 Run Hr]]</f>
        <v>26930</v>
      </c>
      <c r="N26" s="24"/>
      <c r="O26" s="24"/>
      <c r="P26" s="24"/>
      <c r="Q26" s="24"/>
    </row>
    <row r="27" spans="1:17" x14ac:dyDescent="0.35">
      <c r="A27" s="32">
        <f>'PowerHouse Data'!$AA$1</f>
        <v>46289</v>
      </c>
      <c r="B27" s="5">
        <f>Table113[[#This Row],[Comp E75 -1
Run Hr]]-C26</f>
        <v>0</v>
      </c>
      <c r="C27" s="6">
        <f>'PowerHouse Data'!$AB$9</f>
        <v>0</v>
      </c>
      <c r="D27" s="10">
        <f>$N$3-Table113[[#This Row],[Comp E75 -1
Run Hr]]</f>
        <v>5440</v>
      </c>
      <c r="E27" s="5">
        <f>Table113[[#This Row],[Comp E75 -2
Run Hr]]-F26</f>
        <v>0</v>
      </c>
      <c r="F27" s="6">
        <f>'PowerHouse Data'!$AB$10</f>
        <v>0</v>
      </c>
      <c r="G27" s="10">
        <f>$O$3-Table113[[#This Row],[Comp E75 -2
Run Hr]]</f>
        <v>8066</v>
      </c>
      <c r="H27" s="5">
        <f>Table113[[#This Row],[Comp E75 -3
Run Hr]]-I26</f>
        <v>0</v>
      </c>
      <c r="I27" s="6">
        <f>'PowerHouse Data'!$AB$11</f>
        <v>0</v>
      </c>
      <c r="J27" s="10">
        <f>$P$3-Table113[[#This Row],[Comp E75 -3
Run Hr]]</f>
        <v>4000</v>
      </c>
      <c r="K27" s="5">
        <f>Table113[[#This Row],[Comp E55 Run Hr]]-L26</f>
        <v>0</v>
      </c>
      <c r="L27" s="6">
        <f>'PowerHouse Data'!$AB$12</f>
        <v>0</v>
      </c>
      <c r="M27" s="10">
        <f>$Q$3-Table113[[#This Row],[Comp E55 Run Hr]]</f>
        <v>26930</v>
      </c>
      <c r="N27" s="24"/>
      <c r="O27" s="24"/>
      <c r="P27" s="24"/>
      <c r="Q27" s="24"/>
    </row>
    <row r="28" spans="1:17" x14ac:dyDescent="0.35">
      <c r="A28" s="32">
        <f>'PowerHouse Data'!$AB$1</f>
        <v>46290</v>
      </c>
      <c r="B28" s="5">
        <f>Table113[[#This Row],[Comp E75 -1
Run Hr]]-C27</f>
        <v>0</v>
      </c>
      <c r="C28" s="6">
        <f>'PowerHouse Data'!$AC$9</f>
        <v>0</v>
      </c>
      <c r="D28" s="10">
        <f>$N$3-Table113[[#This Row],[Comp E75 -1
Run Hr]]</f>
        <v>5440</v>
      </c>
      <c r="E28" s="5">
        <f>Table113[[#This Row],[Comp E75 -2
Run Hr]]-F27</f>
        <v>0</v>
      </c>
      <c r="F28" s="6">
        <f>'PowerHouse Data'!$AC$10</f>
        <v>0</v>
      </c>
      <c r="G28" s="10">
        <f>$O$3-Table113[[#This Row],[Comp E75 -2
Run Hr]]</f>
        <v>8066</v>
      </c>
      <c r="H28" s="5">
        <f>Table113[[#This Row],[Comp E75 -3
Run Hr]]-I27</f>
        <v>0</v>
      </c>
      <c r="I28" s="6">
        <f>'PowerHouse Data'!$AC$11</f>
        <v>0</v>
      </c>
      <c r="J28" s="10">
        <f>$P$3-Table113[[#This Row],[Comp E75 -3
Run Hr]]</f>
        <v>4000</v>
      </c>
      <c r="K28" s="5">
        <f>Table113[[#This Row],[Comp E55 Run Hr]]-L27</f>
        <v>0</v>
      </c>
      <c r="L28" s="6">
        <f>'PowerHouse Data'!$AC$12</f>
        <v>0</v>
      </c>
      <c r="M28" s="10">
        <f>$Q$3-Table113[[#This Row],[Comp E55 Run Hr]]</f>
        <v>26930</v>
      </c>
      <c r="N28" s="24"/>
      <c r="O28" s="24"/>
      <c r="P28" s="24"/>
      <c r="Q28" s="24"/>
    </row>
    <row r="29" spans="1:17" x14ac:dyDescent="0.35">
      <c r="A29" s="32">
        <f>'PowerHouse Data'!$AC$1</f>
        <v>46291</v>
      </c>
      <c r="B29" s="5">
        <f>Table113[[#This Row],[Comp E75 -1
Run Hr]]-C28</f>
        <v>0</v>
      </c>
      <c r="C29" s="6">
        <f>'PowerHouse Data'!$AD$9</f>
        <v>0</v>
      </c>
      <c r="D29" s="10">
        <f>$N$3-Table113[[#This Row],[Comp E75 -1
Run Hr]]</f>
        <v>5440</v>
      </c>
      <c r="E29" s="5">
        <f>Table113[[#This Row],[Comp E75 -2
Run Hr]]-F28</f>
        <v>0</v>
      </c>
      <c r="F29" s="6">
        <f>'PowerHouse Data'!$AD$10</f>
        <v>0</v>
      </c>
      <c r="G29" s="10">
        <f>$O$3-Table113[[#This Row],[Comp E75 -2
Run Hr]]</f>
        <v>8066</v>
      </c>
      <c r="H29" s="5">
        <f>Table113[[#This Row],[Comp E75 -3
Run Hr]]-I28</f>
        <v>0</v>
      </c>
      <c r="I29" s="6">
        <f>'PowerHouse Data'!$AD$11</f>
        <v>0</v>
      </c>
      <c r="J29" s="10">
        <f>$P$3-Table113[[#This Row],[Comp E75 -3
Run Hr]]</f>
        <v>4000</v>
      </c>
      <c r="K29" s="5">
        <f>Table113[[#This Row],[Comp E55 Run Hr]]-L28</f>
        <v>0</v>
      </c>
      <c r="L29" s="6">
        <f>'PowerHouse Data'!$AD$12</f>
        <v>0</v>
      </c>
      <c r="M29" s="10">
        <f>$Q$3-Table113[[#This Row],[Comp E55 Run Hr]]</f>
        <v>26930</v>
      </c>
      <c r="N29" s="24"/>
      <c r="O29" s="24"/>
      <c r="P29" s="24"/>
      <c r="Q29" s="24"/>
    </row>
    <row r="30" spans="1:17" x14ac:dyDescent="0.35">
      <c r="A30" s="32">
        <f>'PowerHouse Data'!$AD$1</f>
        <v>46292</v>
      </c>
      <c r="B30" s="5">
        <f>Table113[[#This Row],[Comp E75 -1
Run Hr]]-C29</f>
        <v>0</v>
      </c>
      <c r="C30" s="6">
        <f>'PowerHouse Data'!$AE$9</f>
        <v>0</v>
      </c>
      <c r="D30" s="10">
        <f>$N$3-Table113[[#This Row],[Comp E75 -1
Run Hr]]</f>
        <v>5440</v>
      </c>
      <c r="E30" s="5">
        <f>Table113[[#This Row],[Comp E75 -2
Run Hr]]-F29</f>
        <v>0</v>
      </c>
      <c r="F30" s="6">
        <f>'PowerHouse Data'!$AE$10</f>
        <v>0</v>
      </c>
      <c r="G30" s="10">
        <f>$O$3-Table113[[#This Row],[Comp E75 -2
Run Hr]]</f>
        <v>8066</v>
      </c>
      <c r="H30" s="5">
        <f>Table113[[#This Row],[Comp E75 -3
Run Hr]]-I29</f>
        <v>0</v>
      </c>
      <c r="I30" s="6">
        <f>'PowerHouse Data'!$AE$11</f>
        <v>0</v>
      </c>
      <c r="J30" s="10">
        <f>$P$3-Table113[[#This Row],[Comp E75 -3
Run Hr]]</f>
        <v>4000</v>
      </c>
      <c r="K30" s="5">
        <f>Table113[[#This Row],[Comp E55 Run Hr]]-L29</f>
        <v>0</v>
      </c>
      <c r="L30" s="6">
        <f>'PowerHouse Data'!$AE$12</f>
        <v>0</v>
      </c>
      <c r="M30" s="10">
        <f>$Q$3-Table113[[#This Row],[Comp E55 Run Hr]]</f>
        <v>26930</v>
      </c>
      <c r="N30" s="24"/>
      <c r="O30" s="24"/>
      <c r="P30" s="24"/>
      <c r="Q30" s="24"/>
    </row>
    <row r="31" spans="1:17" x14ac:dyDescent="0.35">
      <c r="A31" s="32">
        <f>'PowerHouse Data'!$AE$1</f>
        <v>46293</v>
      </c>
      <c r="B31" s="5">
        <f>Table113[[#This Row],[Comp E75 -1
Run Hr]]-C30</f>
        <v>0</v>
      </c>
      <c r="C31" s="6">
        <f>'PowerHouse Data'!$AF$9</f>
        <v>0</v>
      </c>
      <c r="D31" s="10">
        <f>$N$3-Table113[[#This Row],[Comp E75 -1
Run Hr]]</f>
        <v>5440</v>
      </c>
      <c r="E31" s="5">
        <f>Table113[[#This Row],[Comp E75 -2
Run Hr]]-F30</f>
        <v>0</v>
      </c>
      <c r="F31" s="6">
        <f>'PowerHouse Data'!$AF$10</f>
        <v>0</v>
      </c>
      <c r="G31" s="10">
        <f>$O$3-Table113[[#This Row],[Comp E75 -2
Run Hr]]</f>
        <v>8066</v>
      </c>
      <c r="H31" s="5">
        <f>Table113[[#This Row],[Comp E75 -3
Run Hr]]-I30</f>
        <v>0</v>
      </c>
      <c r="I31" s="6">
        <f>'PowerHouse Data'!$AF$11</f>
        <v>0</v>
      </c>
      <c r="J31" s="10">
        <f>$P$3-Table113[[#This Row],[Comp E75 -3
Run Hr]]</f>
        <v>4000</v>
      </c>
      <c r="K31" s="5">
        <f>Table113[[#This Row],[Comp E55 Run Hr]]-L30</f>
        <v>0</v>
      </c>
      <c r="L31" s="6">
        <f>'PowerHouse Data'!$AF$12</f>
        <v>0</v>
      </c>
      <c r="M31" s="10">
        <f>$Q$3-Table113[[#This Row],[Comp E55 Run Hr]]</f>
        <v>26930</v>
      </c>
      <c r="N31" s="24"/>
      <c r="O31" s="24"/>
      <c r="P31" s="24"/>
      <c r="Q31" s="24"/>
    </row>
    <row r="32" spans="1:17" x14ac:dyDescent="0.35">
      <c r="A32" s="32">
        <f>'PowerHouse Data'!$AF$1</f>
        <v>46294</v>
      </c>
      <c r="B32" s="5">
        <f>Table113[[#This Row],[Comp E75 -1
Run Hr]]-C31</f>
        <v>0</v>
      </c>
      <c r="C32" s="6">
        <f>'PowerHouse Data'!$AG$9</f>
        <v>0</v>
      </c>
      <c r="D32" s="10">
        <f>$N$3-Table113[[#This Row],[Comp E75 -1
Run Hr]]</f>
        <v>5440</v>
      </c>
      <c r="E32" s="5">
        <f>Table113[[#This Row],[Comp E75 -2
Run Hr]]-F31</f>
        <v>0</v>
      </c>
      <c r="F32" s="6">
        <f>'PowerHouse Data'!$AG$10</f>
        <v>0</v>
      </c>
      <c r="G32" s="10">
        <f>$O$3-Table113[[#This Row],[Comp E75 -2
Run Hr]]</f>
        <v>8066</v>
      </c>
      <c r="H32" s="5">
        <f>Table113[[#This Row],[Comp E75 -3
Run Hr]]-I31</f>
        <v>0</v>
      </c>
      <c r="I32" s="6">
        <f>'PowerHouse Data'!$AG$11</f>
        <v>0</v>
      </c>
      <c r="J32" s="10">
        <f>$P$3-Table113[[#This Row],[Comp E75 -3
Run Hr]]</f>
        <v>4000</v>
      </c>
      <c r="K32" s="5">
        <f>Table113[[#This Row],[Comp E55 Run Hr]]-L31</f>
        <v>0</v>
      </c>
      <c r="L32" s="6">
        <f>'PowerHouse Data'!$AG$12</f>
        <v>0</v>
      </c>
      <c r="M32" s="10">
        <f>$Q$3-Table113[[#This Row],[Comp E55 Run Hr]]</f>
        <v>26930</v>
      </c>
      <c r="N32" s="24"/>
      <c r="O32" s="24"/>
      <c r="P32" s="24"/>
      <c r="Q32" s="24"/>
    </row>
    <row r="33" spans="1:17" x14ac:dyDescent="0.35">
      <c r="A33" s="32">
        <f>'PowerHouse Data'!$AG$1</f>
        <v>46295</v>
      </c>
      <c r="B33" s="5">
        <f>Table113[[#This Row],[Comp E75 -1
Run Hr]]-C32</f>
        <v>0</v>
      </c>
      <c r="C33" s="6">
        <f>'PowerHouse Data'!$AH$9</f>
        <v>0</v>
      </c>
      <c r="D33" s="10">
        <f>$N$3-Table113[[#This Row],[Comp E75 -1
Run Hr]]</f>
        <v>5440</v>
      </c>
      <c r="E33" s="5">
        <f>Table113[[#This Row],[Comp E75 -2
Run Hr]]-F32</f>
        <v>0</v>
      </c>
      <c r="F33" s="6">
        <f>'PowerHouse Data'!$AH$10</f>
        <v>0</v>
      </c>
      <c r="G33" s="10">
        <f>$O$3-Table113[[#This Row],[Comp E75 -2
Run Hr]]</f>
        <v>8066</v>
      </c>
      <c r="H33" s="5">
        <f>Table113[[#This Row],[Comp E75 -3
Run Hr]]-I32</f>
        <v>0</v>
      </c>
      <c r="I33" s="6">
        <f>'PowerHouse Data'!$AH$11</f>
        <v>0</v>
      </c>
      <c r="J33" s="10">
        <f>$P$3-Table113[[#This Row],[Comp E75 -3
Run Hr]]</f>
        <v>4000</v>
      </c>
      <c r="K33" s="5">
        <f>Table113[[#This Row],[Comp E55 Run Hr]]-L32</f>
        <v>0</v>
      </c>
      <c r="L33" s="6">
        <f>'PowerHouse Data'!$AH$12</f>
        <v>0</v>
      </c>
      <c r="M33" s="10">
        <f>$Q$3-Table113[[#This Row],[Comp E55 Run Hr]]</f>
        <v>26930</v>
      </c>
      <c r="N33" s="24"/>
      <c r="O33" s="24"/>
      <c r="P33" s="24"/>
      <c r="Q33" s="24"/>
    </row>
    <row r="34" spans="1:17" x14ac:dyDescent="0.35">
      <c r="A34" s="32">
        <f>'PowerHouse Data'!$AH$1</f>
        <v>46296</v>
      </c>
      <c r="B34" s="5">
        <f>Table113[[#This Row],[Comp E75 -1
Run Hr]]-C33</f>
        <v>0</v>
      </c>
      <c r="C34" s="6">
        <f>'PowerHouse Data'!$AI$9</f>
        <v>0</v>
      </c>
      <c r="D34" s="27">
        <f>$N$3-Table113[[#This Row],[Comp E75 -1
Run Hr]]</f>
        <v>5440</v>
      </c>
      <c r="E34" s="5">
        <f>Table113[[#This Row],[Comp E75 -2
Run Hr]]-F33</f>
        <v>0</v>
      </c>
      <c r="F34" s="6">
        <f>'PowerHouse Data'!$AI$10</f>
        <v>0</v>
      </c>
      <c r="G34" s="10">
        <f>$O$3-Table113[[#This Row],[Comp E75 -2
Run Hr]]</f>
        <v>8066</v>
      </c>
      <c r="H34" s="5">
        <f>Table113[[#This Row],[Comp E75 -2
Run Hr]]-I33</f>
        <v>0</v>
      </c>
      <c r="I34" s="6">
        <f>'PowerHouse Data'!$AI$11</f>
        <v>0</v>
      </c>
      <c r="J34" s="10">
        <f>$P$3-Table113[[#This Row],[Comp E75 -3
Run Hr]]</f>
        <v>4000</v>
      </c>
      <c r="K34" s="5">
        <f>Table113[[#This Row],[Comp E55 Run Hr]]-L33</f>
        <v>0</v>
      </c>
      <c r="L34" s="6">
        <f>'PowerHouse Data'!$AI$12</f>
        <v>0</v>
      </c>
      <c r="M34" s="10">
        <f>$Q$3-Table113[[#This Row],[Comp E55 Run Hr]]</f>
        <v>26930</v>
      </c>
      <c r="N34" s="6"/>
      <c r="O34" s="6"/>
      <c r="P34" s="24"/>
      <c r="Q34" s="6"/>
    </row>
    <row r="35" spans="1:17" x14ac:dyDescent="0.35">
      <c r="A35" s="32">
        <f>'PowerHouse Data'!$AI$1</f>
        <v>0</v>
      </c>
      <c r="B35" s="5">
        <f>Table113[[#This Row],[Comp E75 -1
Run Hr]]-C34</f>
        <v>0</v>
      </c>
      <c r="C35" s="6">
        <f>'PowerHouse Data'!$AJ$9</f>
        <v>0</v>
      </c>
      <c r="D35" s="27">
        <f>$N$3-Table113[[#This Row],[Comp E75 -1
Run Hr]]</f>
        <v>5440</v>
      </c>
      <c r="E35" s="5">
        <f>Table113[[#This Row],[Comp E75 -2
Run Hr]]-F34</f>
        <v>0</v>
      </c>
      <c r="F35" s="6">
        <f>'PowerHouse Data'!$AJ$10</f>
        <v>0</v>
      </c>
      <c r="G35" s="27">
        <f>$O$3-Table113[[#This Row],[Comp E75 -2
Run Hr]]</f>
        <v>8066</v>
      </c>
      <c r="H35" s="6">
        <f>Table113[[#This Row],[Comp E75 -2
Run Hr]]-I34</f>
        <v>0</v>
      </c>
      <c r="I35" s="6">
        <f>'PowerHouse Data'!$AJ$11</f>
        <v>0</v>
      </c>
      <c r="J35" s="27">
        <f>$P$3-Table113[[#This Row],[Comp E75 -2
Run Hr]]</f>
        <v>4000</v>
      </c>
      <c r="K35" s="5">
        <f>Table113[[#This Row],[Comp E55 Run Hr]]-L34</f>
        <v>0</v>
      </c>
      <c r="L35" s="6">
        <f>'PowerHouse Data'!$AJ$12</f>
        <v>0</v>
      </c>
      <c r="M35" s="27">
        <f>$Q$3-Table113[[#This Row],[Comp E55 Run Hr]]</f>
        <v>26930</v>
      </c>
      <c r="N35" s="6"/>
      <c r="O35" s="6"/>
      <c r="P35" s="24"/>
      <c r="Q35" s="6"/>
    </row>
    <row r="36" spans="1:17" x14ac:dyDescent="0.35">
      <c r="A36" s="6">
        <f>'PowerHouse Data'!$AJ$1</f>
        <v>0</v>
      </c>
      <c r="B36" s="5"/>
      <c r="C36" s="6"/>
      <c r="D36" s="27">
        <f>$N$2-Table113[[#This Row],[Comp E75 -1
Run Hr]]</f>
        <v>0</v>
      </c>
      <c r="E36" s="5"/>
      <c r="F36" s="6"/>
      <c r="G36" s="27">
        <f>$O$2-Table113[[#This Row],[Comp E75 -2
Run Hr]]</f>
        <v>0</v>
      </c>
      <c r="H36" s="5">
        <f>Table113[[#This Row],[Comp E75 -2
Run Hr]]-I35</f>
        <v>0</v>
      </c>
      <c r="I36" s="6"/>
      <c r="J36" s="10">
        <f>$O$2-Table113[[#This Row],[Comp E75 -2
Run Hr]]</f>
        <v>0</v>
      </c>
      <c r="K36" s="6"/>
      <c r="L36" s="6"/>
      <c r="M36" s="27">
        <f>$Q$2-Table113[[#This Row],[Comp E55 Run Hr]]</f>
        <v>0</v>
      </c>
      <c r="N36" s="6"/>
      <c r="O36" s="6"/>
      <c r="P36" s="24"/>
      <c r="Q36" s="6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ignoredErrors>
    <ignoredError sqref="J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7C3B6-06BA-4AB9-8B2E-C2B8D4F707A8}">
  <sheetPr codeName="Sheet4"/>
  <dimension ref="A1:AF2727"/>
  <sheetViews>
    <sheetView workbookViewId="0">
      <pane xSplit="2" ySplit="2" topLeftCell="K3" activePane="bottomRight" state="frozenSplit"/>
      <selection pane="topRight" activeCell="C1" sqref="C1"/>
      <selection pane="bottomLeft" activeCell="A3" sqref="A3"/>
      <selection pane="bottomRight" activeCell="A19" sqref="A19"/>
    </sheetView>
  </sheetViews>
  <sheetFormatPr defaultRowHeight="14.5" x14ac:dyDescent="0.35"/>
  <cols>
    <col min="1" max="1" width="10.1796875" bestFit="1" customWidth="1"/>
    <col min="2" max="2" width="12.54296875" hidden="1" customWidth="1"/>
    <col min="3" max="6" width="12.54296875" customWidth="1"/>
    <col min="7" max="7" width="12.81640625" customWidth="1"/>
    <col min="8" max="9" width="12.54296875" customWidth="1"/>
    <col min="10" max="11" width="9.54296875" customWidth="1"/>
    <col min="12" max="17" width="12.26953125" customWidth="1"/>
    <col min="18" max="18" width="9.81640625" customWidth="1"/>
    <col min="19" max="19" width="9.7265625" customWidth="1"/>
    <col min="20" max="20" width="10.1796875" customWidth="1"/>
    <col min="21" max="27" width="11.54296875" customWidth="1"/>
    <col min="28" max="29" width="8.7265625" style="18" customWidth="1"/>
    <col min="30" max="30" width="12.54296875" customWidth="1"/>
  </cols>
  <sheetData>
    <row r="1" spans="1:32" ht="58" x14ac:dyDescent="0.35">
      <c r="A1" s="1" t="s">
        <v>0</v>
      </c>
      <c r="B1" s="2" t="s">
        <v>18</v>
      </c>
      <c r="C1" s="2" t="s">
        <v>19</v>
      </c>
      <c r="D1" s="2" t="s">
        <v>20</v>
      </c>
      <c r="E1" s="2" t="s">
        <v>61</v>
      </c>
      <c r="F1" s="2" t="s">
        <v>47</v>
      </c>
      <c r="G1" s="2" t="s">
        <v>62</v>
      </c>
      <c r="H1" s="2" t="s">
        <v>63</v>
      </c>
      <c r="I1" s="2" t="s">
        <v>65</v>
      </c>
      <c r="J1" s="2" t="s">
        <v>21</v>
      </c>
      <c r="K1" s="2" t="s">
        <v>39</v>
      </c>
      <c r="L1" s="2" t="s">
        <v>22</v>
      </c>
      <c r="M1" s="2" t="s">
        <v>38</v>
      </c>
      <c r="N1" s="2" t="s">
        <v>76</v>
      </c>
      <c r="O1" s="2" t="s">
        <v>77</v>
      </c>
      <c r="P1" s="2" t="s">
        <v>81</v>
      </c>
      <c r="Q1" s="2" t="s">
        <v>82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78</v>
      </c>
      <c r="W1" s="2" t="s">
        <v>79</v>
      </c>
      <c r="X1" s="2" t="s">
        <v>83</v>
      </c>
      <c r="Y1" s="2" t="s">
        <v>84</v>
      </c>
      <c r="Z1" s="12" t="s">
        <v>57</v>
      </c>
      <c r="AA1" s="12" t="s">
        <v>64</v>
      </c>
      <c r="AB1" s="2" t="s">
        <v>23</v>
      </c>
      <c r="AC1" s="2" t="s">
        <v>24</v>
      </c>
      <c r="AD1" s="2" t="s">
        <v>66</v>
      </c>
    </row>
    <row r="2" spans="1:32" hidden="1" x14ac:dyDescent="0.35">
      <c r="A2" s="13">
        <v>46233</v>
      </c>
      <c r="B2" s="14"/>
      <c r="C2" s="10">
        <v>2250</v>
      </c>
      <c r="D2" s="10">
        <v>2244</v>
      </c>
      <c r="E2" s="10">
        <v>40593.5</v>
      </c>
      <c r="F2" s="10">
        <v>0</v>
      </c>
      <c r="G2" s="10">
        <v>98.5</v>
      </c>
      <c r="H2" s="10">
        <v>40495</v>
      </c>
      <c r="I2" s="10">
        <v>45679</v>
      </c>
      <c r="J2" s="10">
        <v>2.1999999999998181</v>
      </c>
      <c r="K2" s="10">
        <v>5687.4</v>
      </c>
      <c r="L2" s="10">
        <v>0</v>
      </c>
      <c r="M2" s="10">
        <v>12538.2</v>
      </c>
      <c r="N2" s="10" t="e">
        <f>Table113456[[#This Row],[DG Utility Run Hr Meter]]-O1</f>
        <v>#VALUE!</v>
      </c>
      <c r="O2" s="10">
        <f>'PowerHouse Data'!$C$15</f>
        <v>30943</v>
      </c>
      <c r="P2" s="10" t="e">
        <f>Table113456[[#This Row],[DG Admin Run Hr Meter]]-Q1</f>
        <v>#VALUE!</v>
      </c>
      <c r="Q2" s="10">
        <f>'PowerHouse Data'!$C$16</f>
        <v>3501.8</v>
      </c>
      <c r="R2" s="39">
        <v>5824</v>
      </c>
      <c r="S2" s="10">
        <v>136.60000000000036</v>
      </c>
      <c r="T2" s="39">
        <v>12643.5</v>
      </c>
      <c r="U2" s="10">
        <v>105.29999999999927</v>
      </c>
      <c r="V2" s="27">
        <v>31150</v>
      </c>
      <c r="W2" s="10">
        <v>206</v>
      </c>
      <c r="X2" s="27">
        <v>3540</v>
      </c>
      <c r="Y2" s="10">
        <f>Table113456[[#This Row],[DG Admin NEXT SERVICE]]-Table113456[[#This Row],[DG Admin Run Hr Meter]]</f>
        <v>38.199999999999818</v>
      </c>
      <c r="Z2" s="27">
        <v>0</v>
      </c>
      <c r="AA2" s="10"/>
      <c r="AB2" s="10"/>
      <c r="AC2" s="27"/>
      <c r="AD2" s="28">
        <f>'PowerHouse Data'!C5</f>
        <v>5184</v>
      </c>
    </row>
    <row r="3" spans="1:32" ht="18" hidden="1" customHeight="1" x14ac:dyDescent="0.35">
      <c r="A3" s="13">
        <f>'PowerHouse Data'!$C$1</f>
        <v>46265</v>
      </c>
      <c r="B3" s="14">
        <v>0.29166666666666669</v>
      </c>
      <c r="C3" s="10">
        <f>'PowerHouse Data'!C2</f>
        <v>2244</v>
      </c>
      <c r="D3" s="10">
        <f>'PowerHouse Data'!$D$2</f>
        <v>2242</v>
      </c>
      <c r="E3" s="10">
        <f t="shared" ref="E3:E35" si="0">VLOOKUP(C3,$AB$3:$AC$2727,2,FALSE)</f>
        <v>40495</v>
      </c>
      <c r="F3" s="10">
        <f>'PowerHouse Data'!$D$3</f>
        <v>0</v>
      </c>
      <c r="G3" s="10">
        <f>Table113456[[#This Row],[Main Tank
Opening Stock (Liters)]]-Table113456[[#This Row],[Main Tank
Closing Stock (Liters)]]+Table113456[[#This Row],[Received (Liters)]]</f>
        <v>32.5</v>
      </c>
      <c r="H3" s="10">
        <f t="shared" ref="H3:H34" si="1">VLOOKUP(D3,$AB$3:$AC$2727,2,FALSE)</f>
        <v>40462.5</v>
      </c>
      <c r="I3" s="10">
        <f>Table113456[[#This Row],[Main Tank
Closing Stock (Liters)]]+AD3</f>
        <v>45646.5</v>
      </c>
      <c r="J3" s="10">
        <f>'PowerHouse Data'!D13-'PowerHouse Data'!C13</f>
        <v>0</v>
      </c>
      <c r="K3" s="10">
        <f>'PowerHouse Data'!$D$13</f>
        <v>5687.4</v>
      </c>
      <c r="L3" s="10">
        <f>'PowerHouse Data'!D14-'PowerHouse Data'!C14</f>
        <v>0</v>
      </c>
      <c r="M3" s="10">
        <f>'PowerHouse Data'!$D$14</f>
        <v>12538.2</v>
      </c>
      <c r="N3" s="10">
        <f>Table113456[[#This Row],[DG Utility Run Hr Meter]]-O2</f>
        <v>1</v>
      </c>
      <c r="O3" s="10">
        <f>'PowerHouse Data'!$D$15</f>
        <v>30944</v>
      </c>
      <c r="P3" s="10">
        <f>Table113456[[#This Row],[DG Admin Run Hr Meter]]-Q2</f>
        <v>1</v>
      </c>
      <c r="Q3" s="10">
        <f>'PowerHouse Data'!$D$16</f>
        <v>3502.8</v>
      </c>
      <c r="R3" s="39">
        <v>5824</v>
      </c>
      <c r="S3" s="10">
        <f>Table113456[[#This Row],[DG Milling NEXT SERVICE ]]-Table113456[[#This Row],[DG Milling Run Hr Meter]]</f>
        <v>136.60000000000036</v>
      </c>
      <c r="T3" s="39">
        <v>12643.5</v>
      </c>
      <c r="U3" s="10">
        <f>Table113456[[#This Row],[DG Parboil NEXT SERVICE]]-Table113456[[#This Row],[DG Parboiling 
Run Hr Meter]]</f>
        <v>105.29999999999927</v>
      </c>
      <c r="V3" s="27">
        <v>31150</v>
      </c>
      <c r="W3" s="10">
        <f>Table113456[[#This Row],[DG Utility NEXT SERVICE]]-Table113456[[#This Row],[DG Utility Run Hr Meter]]</f>
        <v>206</v>
      </c>
      <c r="X3" s="27">
        <v>3540</v>
      </c>
      <c r="Y3" s="10">
        <f>Table113456[[#This Row],[DG Admin NEXT SERVICE]]-Table113456[[#This Row],[DG Admin Run Hr Meter]]</f>
        <v>37.199999999999818</v>
      </c>
      <c r="Z3" s="27">
        <f>'PowerHouse Data'!$D$4</f>
        <v>33</v>
      </c>
      <c r="AA3" s="10"/>
      <c r="AB3" s="26">
        <v>0</v>
      </c>
      <c r="AC3" s="26">
        <v>0</v>
      </c>
      <c r="AD3" s="29">
        <f>'PowerHouse Data'!$D$5</f>
        <v>5184</v>
      </c>
    </row>
    <row r="4" spans="1:32" ht="18" customHeight="1" x14ac:dyDescent="0.35">
      <c r="A4" s="13">
        <f>'PowerHouse Data'!$D$1</f>
        <v>46266</v>
      </c>
      <c r="B4" s="14">
        <v>0.29166666666666669</v>
      </c>
      <c r="C4" s="10">
        <f>D3</f>
        <v>2242</v>
      </c>
      <c r="D4" s="10">
        <f>'PowerHouse Data'!$E$2</f>
        <v>2242</v>
      </c>
      <c r="E4" s="10">
        <f t="shared" si="0"/>
        <v>40462.5</v>
      </c>
      <c r="F4" s="10">
        <f>'PowerHouse Data'!$E$3</f>
        <v>0</v>
      </c>
      <c r="G4" s="10">
        <f>Table113456[[#This Row],[Main Tank
Opening Stock (Liters)]]-Table113456[[#This Row],[Main Tank
Closing Stock (Liters)]]+Table113456[[#This Row],[Received (Liters)]]</f>
        <v>0</v>
      </c>
      <c r="H4" s="10">
        <f t="shared" si="1"/>
        <v>40462.5</v>
      </c>
      <c r="I4" s="10">
        <f>Table113456[[#This Row],[Main Tank
Closing Stock (Liters)]]+AD4</f>
        <v>45646.5</v>
      </c>
      <c r="J4" s="10">
        <f>Table113456[[#This Row],[DG Milling Run Hr Meter]]-K3</f>
        <v>0</v>
      </c>
      <c r="K4" s="10">
        <f>'PowerHouse Data'!$E$13</f>
        <v>5687.4</v>
      </c>
      <c r="L4" s="10">
        <f>Table113456[[#This Row],[DG Parboiling 
Run Hr Meter]]-M3</f>
        <v>0</v>
      </c>
      <c r="M4" s="10">
        <f>'PowerHouse Data'!$E$14</f>
        <v>12538.2</v>
      </c>
      <c r="N4" s="10">
        <f>Table113456[[#This Row],[DG Utility Run Hr Meter]]-O3</f>
        <v>0.7000000000007276</v>
      </c>
      <c r="O4" s="10">
        <f>'PowerHouse Data'!$E$15</f>
        <v>30944.7</v>
      </c>
      <c r="P4" s="10">
        <f>Table113456[[#This Row],[DG Admin Run Hr Meter]]-Q3</f>
        <v>0</v>
      </c>
      <c r="Q4" s="10">
        <f>'PowerHouse Data'!$E$16</f>
        <v>3502.8</v>
      </c>
      <c r="R4" s="10">
        <v>5824</v>
      </c>
      <c r="S4" s="10">
        <f>Table113456[[#This Row],[DG Milling NEXT SERVICE ]]-Table113456[[#This Row],[DG Milling Run Hr Meter]]</f>
        <v>136.60000000000036</v>
      </c>
      <c r="T4" s="10">
        <v>12643.5</v>
      </c>
      <c r="U4" s="10">
        <f>Table113456[[#This Row],[DG Parboil NEXT SERVICE]]-Table113456[[#This Row],[DG Parboiling 
Run Hr Meter]]</f>
        <v>105.29999999999927</v>
      </c>
      <c r="V4" s="27">
        <v>31150</v>
      </c>
      <c r="W4" s="27">
        <f>Table113456[[#This Row],[DG Utility NEXT SERVICE]]-Table113456[[#This Row],[DG Utility Run Hr Meter]]</f>
        <v>205.29999999999927</v>
      </c>
      <c r="X4" s="27">
        <v>3540</v>
      </c>
      <c r="Y4" s="27">
        <f>Table113456[[#This Row],[DG Admin NEXT SERVICE]]-Table113456[[#This Row],[DG Admin Run Hr Meter]]</f>
        <v>37.199999999999818</v>
      </c>
      <c r="Z4" s="27">
        <f>'PowerHouse Data'!$E$4</f>
        <v>0</v>
      </c>
      <c r="AA4" s="10"/>
      <c r="AB4" s="44">
        <v>1</v>
      </c>
      <c r="AC4" s="26">
        <v>1</v>
      </c>
      <c r="AD4" s="30">
        <f>'PowerHouse Data'!$E$5</f>
        <v>5184</v>
      </c>
    </row>
    <row r="5" spans="1:32" s="38" customFormat="1" ht="18" customHeight="1" x14ac:dyDescent="0.35">
      <c r="A5" s="33">
        <f>'PowerHouse Data'!$E$1</f>
        <v>46267</v>
      </c>
      <c r="B5" s="34">
        <v>0.29166666666666669</v>
      </c>
      <c r="C5" s="35">
        <f t="shared" ref="C5:C32" si="2">D4</f>
        <v>2242</v>
      </c>
      <c r="D5" s="35">
        <f>'PowerHouse Data'!$F$2</f>
        <v>2236</v>
      </c>
      <c r="E5" s="35">
        <f t="shared" si="0"/>
        <v>40462.5</v>
      </c>
      <c r="F5" s="35">
        <f>'PowerHouse Data'!$F$3</f>
        <v>0</v>
      </c>
      <c r="G5" s="35">
        <f>Table113456[[#This Row],[Main Tank
Opening Stock (Liters)]]-Table113456[[#This Row],[Main Tank
Closing Stock (Liters)]]+Table113456[[#This Row],[Received (Liters)]]</f>
        <v>98.5</v>
      </c>
      <c r="H5" s="35">
        <f t="shared" si="1"/>
        <v>40364</v>
      </c>
      <c r="I5" s="35">
        <f>Table113456[[#This Row],[Main Tank
Closing Stock (Liters)]]+AD5</f>
        <v>45548</v>
      </c>
      <c r="J5" s="35">
        <f>Table113456[[#This Row],[DG Milling Run Hr Meter]]-K4</f>
        <v>1.3000000000001819</v>
      </c>
      <c r="K5" s="35">
        <f>'PowerHouse Data'!$F$13</f>
        <v>5688.7</v>
      </c>
      <c r="L5" s="35">
        <f>Table113456[[#This Row],[DG Parboiling 
Run Hr Meter]]-M4</f>
        <v>0</v>
      </c>
      <c r="M5" s="35">
        <f>'PowerHouse Data'!$F$14</f>
        <v>12538.2</v>
      </c>
      <c r="N5" s="35">
        <f>Table113456[[#This Row],[DG Utility Run Hr Meter]]-O4</f>
        <v>0</v>
      </c>
      <c r="O5" s="35">
        <f>'PowerHouse Data'!$F$15</f>
        <v>30944.7</v>
      </c>
      <c r="P5" s="35">
        <f>Table113456[[#This Row],[DG Admin Run Hr Meter]]-Q4</f>
        <v>0</v>
      </c>
      <c r="Q5" s="35">
        <f>'PowerHouse Data'!$F$16</f>
        <v>3502.8</v>
      </c>
      <c r="R5" s="39">
        <v>5824</v>
      </c>
      <c r="S5" s="35">
        <f>Table113456[[#This Row],[DG Milling NEXT SERVICE ]]-Table113456[[#This Row],[DG Milling Run Hr Meter]]</f>
        <v>135.30000000000018</v>
      </c>
      <c r="T5" s="39">
        <v>12643.5</v>
      </c>
      <c r="U5" s="35">
        <f>Table113456[[#This Row],[DG Parboil NEXT SERVICE]]-Table113456[[#This Row],[DG Parboiling 
Run Hr Meter]]</f>
        <v>105.29999999999927</v>
      </c>
      <c r="V5" s="27">
        <v>31150</v>
      </c>
      <c r="W5" s="36">
        <f>Table113456[[#This Row],[DG Utility NEXT SERVICE]]-Table113456[[#This Row],[DG Utility Run Hr Meter]]</f>
        <v>205.29999999999927</v>
      </c>
      <c r="X5" s="27">
        <v>3540</v>
      </c>
      <c r="Y5" s="36">
        <f>Table113456[[#This Row],[DG Admin NEXT SERVICE]]-Table113456[[#This Row],[DG Admin Run Hr Meter]]</f>
        <v>37.199999999999818</v>
      </c>
      <c r="Z5" s="36">
        <f>'PowerHouse Data'!$F$4</f>
        <v>38</v>
      </c>
      <c r="AA5" s="35"/>
      <c r="AB5" s="26">
        <v>2</v>
      </c>
      <c r="AC5" s="26">
        <v>2</v>
      </c>
      <c r="AD5" s="37">
        <f>'PowerHouse Data'!$F$5</f>
        <v>5184</v>
      </c>
    </row>
    <row r="6" spans="1:32" ht="18" customHeight="1" x14ac:dyDescent="0.35">
      <c r="A6" s="13">
        <f>'PowerHouse Data'!$F$1</f>
        <v>46268</v>
      </c>
      <c r="B6" s="14">
        <v>0.29166666666666669</v>
      </c>
      <c r="C6" s="10">
        <f t="shared" si="2"/>
        <v>2236</v>
      </c>
      <c r="D6" s="10">
        <f>'PowerHouse Data'!$G$2</f>
        <v>2236</v>
      </c>
      <c r="E6" s="10">
        <f t="shared" si="0"/>
        <v>40364</v>
      </c>
      <c r="F6" s="10">
        <f>'PowerHouse Data'!$G$3</f>
        <v>0</v>
      </c>
      <c r="G6" s="10">
        <f>Table113456[[#This Row],[Main Tank
Opening Stock (Liters)]]-Table113456[[#This Row],[Main Tank
Closing Stock (Liters)]]+Table113456[[#This Row],[Received (Liters)]]</f>
        <v>0</v>
      </c>
      <c r="H6" s="10">
        <f t="shared" si="1"/>
        <v>40364</v>
      </c>
      <c r="I6" s="10">
        <f>Table113456[[#This Row],[Main Tank
Closing Stock (Liters)]]+AD6</f>
        <v>45548</v>
      </c>
      <c r="J6" s="10">
        <f>Table113456[[#This Row],[DG Milling Run Hr Meter]]-K5</f>
        <v>0</v>
      </c>
      <c r="K6" s="10">
        <f>'PowerHouse Data'!$G$13</f>
        <v>5688.7</v>
      </c>
      <c r="L6" s="10">
        <f>Table113456[[#This Row],[DG Parboiling 
Run Hr Meter]]-M5</f>
        <v>0</v>
      </c>
      <c r="M6" s="10">
        <f>'PowerHouse Data'!$G$14</f>
        <v>12538.2</v>
      </c>
      <c r="N6" s="10">
        <f>Table113456[[#This Row],[DG Utility Run Hr Meter]]-O5</f>
        <v>0</v>
      </c>
      <c r="O6" s="10">
        <f>'PowerHouse Data'!$G$15</f>
        <v>30944.7</v>
      </c>
      <c r="P6" s="10">
        <f>Table113456[[#This Row],[DG Admin Run Hr Meter]]-Q5</f>
        <v>0</v>
      </c>
      <c r="Q6" s="10">
        <f>'PowerHouse Data'!$G$16</f>
        <v>3502.8</v>
      </c>
      <c r="R6" s="10">
        <v>5824</v>
      </c>
      <c r="S6" s="10">
        <f>Table113456[[#This Row],[DG Milling NEXT SERVICE ]]-Table113456[[#This Row],[DG Milling Run Hr Meter]]</f>
        <v>135.30000000000018</v>
      </c>
      <c r="T6" s="10">
        <v>12643.5</v>
      </c>
      <c r="U6" s="10">
        <f>Table113456[[#This Row],[DG Parboil NEXT SERVICE]]-Table113456[[#This Row],[DG Parboiling 
Run Hr Meter]]</f>
        <v>105.29999999999927</v>
      </c>
      <c r="V6" s="27">
        <v>31150</v>
      </c>
      <c r="W6" s="27">
        <f>Table113456[[#This Row],[DG Utility NEXT SERVICE]]-Table113456[[#This Row],[DG Utility Run Hr Meter]]</f>
        <v>205.29999999999927</v>
      </c>
      <c r="X6" s="27">
        <v>3540</v>
      </c>
      <c r="Y6" s="27">
        <f>Table113456[[#This Row],[DG Admin NEXT SERVICE]]-Table113456[[#This Row],[DG Admin Run Hr Meter]]</f>
        <v>37.199999999999818</v>
      </c>
      <c r="Z6" s="27">
        <f>'PowerHouse Data'!$G$4</f>
        <v>0</v>
      </c>
      <c r="AA6" s="10"/>
      <c r="AB6" s="44">
        <v>3</v>
      </c>
      <c r="AC6" s="26">
        <v>3</v>
      </c>
      <c r="AD6" s="30">
        <f>'PowerHouse Data'!$G$5</f>
        <v>5184</v>
      </c>
    </row>
    <row r="7" spans="1:32" s="38" customFormat="1" ht="18" customHeight="1" x14ac:dyDescent="0.35">
      <c r="A7" s="33">
        <f>'PowerHouse Data'!$G$1</f>
        <v>46269</v>
      </c>
      <c r="B7" s="34">
        <v>0.29166666666666669</v>
      </c>
      <c r="C7" s="35">
        <f t="shared" si="2"/>
        <v>2236</v>
      </c>
      <c r="D7" s="35">
        <f>'PowerHouse Data'!$H$2</f>
        <v>2236</v>
      </c>
      <c r="E7" s="35">
        <f t="shared" si="0"/>
        <v>40364</v>
      </c>
      <c r="F7" s="35">
        <f>'PowerHouse Data'!$H$3</f>
        <v>0</v>
      </c>
      <c r="G7" s="35">
        <f>Table113456[[#This Row],[Main Tank
Opening Stock (Liters)]]-Table113456[[#This Row],[Main Tank
Closing Stock (Liters)]]+Table113456[[#This Row],[Received (Liters)]]</f>
        <v>0</v>
      </c>
      <c r="H7" s="35">
        <f t="shared" si="1"/>
        <v>40364</v>
      </c>
      <c r="I7" s="35">
        <f>Table113456[[#This Row],[Main Tank
Closing Stock (Liters)]]+AD7</f>
        <v>45492</v>
      </c>
      <c r="J7" s="35">
        <f>Table113456[[#This Row],[DG Milling Run Hr Meter]]-K6</f>
        <v>0</v>
      </c>
      <c r="K7" s="35">
        <f>'PowerHouse Data'!$H$13</f>
        <v>5688.7</v>
      </c>
      <c r="L7" s="35">
        <f>Table113456[[#This Row],[DG Parboiling 
Run Hr Meter]]-M6</f>
        <v>0</v>
      </c>
      <c r="M7" s="35">
        <f>'PowerHouse Data'!$H$14</f>
        <v>12538.2</v>
      </c>
      <c r="N7" s="35">
        <f>Table113456[[#This Row],[DG Utility Run Hr Meter]]-O6</f>
        <v>0</v>
      </c>
      <c r="O7" s="35">
        <f>'PowerHouse Data'!$H$15</f>
        <v>30944.7</v>
      </c>
      <c r="P7" s="35">
        <f>Table113456[[#This Row],[DG Admin Run Hr Meter]]-Q6</f>
        <v>0</v>
      </c>
      <c r="Q7" s="35">
        <f>'PowerHouse Data'!$H$16</f>
        <v>3502.8</v>
      </c>
      <c r="R7" s="39">
        <v>5824</v>
      </c>
      <c r="S7" s="35">
        <f>Table113456[[#This Row],[DG Milling NEXT SERVICE ]]-Table113456[[#This Row],[DG Milling Run Hr Meter]]</f>
        <v>135.30000000000018</v>
      </c>
      <c r="T7" s="39">
        <v>12643.5</v>
      </c>
      <c r="U7" s="39">
        <f>Table113456[[#This Row],[DG Parboil NEXT SERVICE]]-Table113456[[#This Row],[DG Parboiling 
Run Hr Meter]]</f>
        <v>105.29999999999927</v>
      </c>
      <c r="V7" s="27">
        <v>31150</v>
      </c>
      <c r="W7" s="46">
        <f>Table113456[[#This Row],[DG Utility NEXT SERVICE]]-Table113456[[#This Row],[DG Utility Run Hr Meter]]</f>
        <v>205.29999999999927</v>
      </c>
      <c r="X7" s="27">
        <v>3540</v>
      </c>
      <c r="Y7" s="46">
        <f>Table113456[[#This Row],[DG Admin NEXT SERVICE]]-Table113456[[#This Row],[DG Admin Run Hr Meter]]</f>
        <v>37.199999999999818</v>
      </c>
      <c r="Z7" s="36">
        <f>'PowerHouse Data'!$H$4</f>
        <v>56</v>
      </c>
      <c r="AA7" s="35"/>
      <c r="AB7" s="26">
        <v>4</v>
      </c>
      <c r="AC7" s="26">
        <v>4</v>
      </c>
      <c r="AD7" s="37">
        <f>'PowerHouse Data'!$H$5</f>
        <v>5128</v>
      </c>
    </row>
    <row r="8" spans="1:32" ht="18" customHeight="1" x14ac:dyDescent="0.35">
      <c r="A8" s="13">
        <f>'PowerHouse Data'!$H$1</f>
        <v>46270</v>
      </c>
      <c r="B8" s="14">
        <v>0.29166666666666669</v>
      </c>
      <c r="C8" s="10">
        <f t="shared" si="2"/>
        <v>2236</v>
      </c>
      <c r="D8" s="10">
        <f>'PowerHouse Data'!$I$2</f>
        <v>2220</v>
      </c>
      <c r="E8" s="10">
        <f t="shared" si="0"/>
        <v>40364</v>
      </c>
      <c r="F8" s="10">
        <f>'PowerHouse Data'!$I$3</f>
        <v>0</v>
      </c>
      <c r="G8" s="10">
        <f>Table113456[[#This Row],[Main Tank
Opening Stock (Liters)]]-Table113456[[#This Row],[Main Tank
Closing Stock (Liters)]]+Table113456[[#This Row],[Received (Liters)]]</f>
        <v>266</v>
      </c>
      <c r="H8" s="10">
        <f t="shared" si="1"/>
        <v>40098</v>
      </c>
      <c r="I8" s="10">
        <f>Table113456[[#This Row],[Main Tank
Closing Stock (Liters)]]+AD8</f>
        <v>45282</v>
      </c>
      <c r="J8" s="10">
        <f>Table113456[[#This Row],[DG Milling Run Hr Meter]]-K7</f>
        <v>4.3000000000001819</v>
      </c>
      <c r="K8" s="10">
        <f>'PowerHouse Data'!$I$13</f>
        <v>5693</v>
      </c>
      <c r="L8" s="10">
        <f>Table113456[[#This Row],[DG Parboiling 
Run Hr Meter]]-M7</f>
        <v>0</v>
      </c>
      <c r="M8" s="10">
        <f>'PowerHouse Data'!$I$14</f>
        <v>12538.2</v>
      </c>
      <c r="N8" s="10">
        <f>Table113456[[#This Row],[DG Utility Run Hr Meter]]-O7</f>
        <v>0</v>
      </c>
      <c r="O8" s="10">
        <f>'PowerHouse Data'!$I$15</f>
        <v>30944.7</v>
      </c>
      <c r="P8" s="10">
        <f>Table113456[[#This Row],[DG Admin Run Hr Meter]]-Q7</f>
        <v>1.3999999999996362</v>
      </c>
      <c r="Q8" s="10">
        <f>'PowerHouse Data'!$I$16</f>
        <v>3504.2</v>
      </c>
      <c r="R8" s="10">
        <v>5824</v>
      </c>
      <c r="S8" s="10">
        <f>Table113456[[#This Row],[DG Milling NEXT SERVICE ]]-Table113456[[#This Row],[DG Milling Run Hr Meter]]</f>
        <v>131</v>
      </c>
      <c r="T8" s="10">
        <v>12643.5</v>
      </c>
      <c r="U8" s="10">
        <f>Table113456[[#This Row],[DG Parboil NEXT SERVICE]]-Table113456[[#This Row],[DG Parboiling 
Run Hr Meter]]</f>
        <v>105.29999999999927</v>
      </c>
      <c r="V8" s="27">
        <v>31150</v>
      </c>
      <c r="W8" s="27">
        <f>Table113456[[#This Row],[DG Utility NEXT SERVICE]]-Table113456[[#This Row],[DG Utility Run Hr Meter]]</f>
        <v>205.29999999999927</v>
      </c>
      <c r="X8" s="27">
        <v>3540</v>
      </c>
      <c r="Y8" s="27">
        <f>Table113456[[#This Row],[DG Admin NEXT SERVICE]]-Table113456[[#This Row],[DG Admin Run Hr Meter]]</f>
        <v>35.800000000000182</v>
      </c>
      <c r="Z8" s="27">
        <f>'PowerHouse Data'!$I$4</f>
        <v>10</v>
      </c>
      <c r="AA8" s="10"/>
      <c r="AB8" s="44">
        <v>5</v>
      </c>
      <c r="AC8" s="26">
        <v>6</v>
      </c>
      <c r="AD8" s="30">
        <f>'PowerHouse Data'!$I$5</f>
        <v>5184</v>
      </c>
    </row>
    <row r="9" spans="1:32" s="38" customFormat="1" ht="18" customHeight="1" x14ac:dyDescent="0.35">
      <c r="A9" s="33">
        <f>'PowerHouse Data'!$I$1</f>
        <v>46271</v>
      </c>
      <c r="B9" s="34">
        <v>0.29166666666666669</v>
      </c>
      <c r="C9" s="35">
        <f t="shared" si="2"/>
        <v>2220</v>
      </c>
      <c r="D9" s="35">
        <f>'PowerHouse Data'!$J$2</f>
        <v>2220</v>
      </c>
      <c r="E9" s="35">
        <f t="shared" si="0"/>
        <v>40098</v>
      </c>
      <c r="F9" s="35">
        <f>'PowerHouse Data'!$J$3</f>
        <v>0</v>
      </c>
      <c r="G9" s="10">
        <f>Table113456[[#This Row],[Main Tank
Opening Stock (Liters)]]-Table113456[[#This Row],[Main Tank
Closing Stock (Liters)]]+Table113456[[#This Row],[Received (Liters)]]</f>
        <v>0</v>
      </c>
      <c r="H9" s="35">
        <f t="shared" si="1"/>
        <v>40098</v>
      </c>
      <c r="I9" s="35">
        <f>Table113456[[#This Row],[Main Tank
Closing Stock (Liters)]]+AD9</f>
        <v>45282</v>
      </c>
      <c r="J9" s="35">
        <f>Table113456[[#This Row],[DG Milling Run Hr Meter]]-K8</f>
        <v>0</v>
      </c>
      <c r="K9" s="35">
        <f>'PowerHouse Data'!$J$13</f>
        <v>5693</v>
      </c>
      <c r="L9" s="35">
        <f>Table113456[[#This Row],[DG Parboiling 
Run Hr Meter]]-M8</f>
        <v>0</v>
      </c>
      <c r="M9" s="35">
        <f>'PowerHouse Data'!$J$14</f>
        <v>12538.2</v>
      </c>
      <c r="N9" s="35">
        <f>Table113456[[#This Row],[DG Utility Run Hr Meter]]-O8</f>
        <v>0</v>
      </c>
      <c r="O9" s="35">
        <f>'PowerHouse Data'!$J$15</f>
        <v>30944.7</v>
      </c>
      <c r="P9" s="35">
        <f>Table113456[[#This Row],[DG Admin Run Hr Meter]]-Q8</f>
        <v>0</v>
      </c>
      <c r="Q9" s="35">
        <f>'PowerHouse Data'!$J$16</f>
        <v>3504.2</v>
      </c>
      <c r="R9" s="39">
        <v>5824</v>
      </c>
      <c r="S9" s="35">
        <f>Table113456[[#This Row],[DG Milling NEXT SERVICE ]]-Table113456[[#This Row],[DG Milling Run Hr Meter]]</f>
        <v>131</v>
      </c>
      <c r="T9" s="39">
        <v>12643.5</v>
      </c>
      <c r="U9" s="39">
        <f>Table113456[[#This Row],[DG Parboil NEXT SERVICE]]-Table113456[[#This Row],[DG Parboiling 
Run Hr Meter]]</f>
        <v>105.29999999999927</v>
      </c>
      <c r="V9" s="27">
        <v>31150</v>
      </c>
      <c r="W9" s="46">
        <f>Table113456[[#This Row],[DG Utility NEXT SERVICE]]-Table113456[[#This Row],[DG Utility Run Hr Meter]]</f>
        <v>205.29999999999927</v>
      </c>
      <c r="X9" s="27">
        <v>3540</v>
      </c>
      <c r="Y9" s="46">
        <f>Table113456[[#This Row],[DG Admin NEXT SERVICE]]-Table113456[[#This Row],[DG Admin Run Hr Meter]]</f>
        <v>35.800000000000182</v>
      </c>
      <c r="Z9" s="36">
        <f>'PowerHouse Data'!$J$4</f>
        <v>0</v>
      </c>
      <c r="AA9" s="35"/>
      <c r="AB9" s="26">
        <v>6</v>
      </c>
      <c r="AC9" s="26">
        <v>8</v>
      </c>
      <c r="AD9" s="37">
        <f>'PowerHouse Data'!$J$5</f>
        <v>5184</v>
      </c>
    </row>
    <row r="10" spans="1:32" ht="18" customHeight="1" x14ac:dyDescent="0.35">
      <c r="A10" s="13">
        <f>'PowerHouse Data'!$J$1</f>
        <v>46272</v>
      </c>
      <c r="B10" s="14">
        <v>0.29166666666666669</v>
      </c>
      <c r="C10" s="10">
        <f t="shared" si="2"/>
        <v>2220</v>
      </c>
      <c r="D10" s="10">
        <f>'PowerHouse Data'!$K$2</f>
        <v>2178</v>
      </c>
      <c r="E10" s="10">
        <f t="shared" si="0"/>
        <v>40098</v>
      </c>
      <c r="F10" s="10">
        <f>'PowerHouse Data'!$K$3</f>
        <v>0</v>
      </c>
      <c r="G10" s="10">
        <f>Table113456[[#This Row],[Main Tank
Opening Stock (Liters)]]-Table113456[[#This Row],[Main Tank
Closing Stock (Liters)]]+Table113456[[#This Row],[Received (Liters)]]</f>
        <v>712</v>
      </c>
      <c r="H10" s="10">
        <f t="shared" si="1"/>
        <v>39386</v>
      </c>
      <c r="I10" s="10">
        <f>Table113456[[#This Row],[Main Tank
Closing Stock (Liters)]]+AD10</f>
        <v>44570</v>
      </c>
      <c r="J10" s="10">
        <f>Table113456[[#This Row],[DG Milling Run Hr Meter]]-K9</f>
        <v>0</v>
      </c>
      <c r="K10" s="10">
        <f>'PowerHouse Data'!$K$13</f>
        <v>5693</v>
      </c>
      <c r="L10" s="10">
        <f>Table113456[[#This Row],[DG Parboiling 
Run Hr Meter]]-M9</f>
        <v>0</v>
      </c>
      <c r="M10" s="10">
        <f>'PowerHouse Data'!$K$14</f>
        <v>12538.2</v>
      </c>
      <c r="N10" s="10">
        <f>Table113456[[#This Row],[DG Utility Run Hr Meter]]-O9</f>
        <v>0</v>
      </c>
      <c r="O10" s="10">
        <f>'PowerHouse Data'!$K$15</f>
        <v>30944.7</v>
      </c>
      <c r="P10" s="10">
        <f>Table113456[[#This Row],[DG Admin Run Hr Meter]]-Q9</f>
        <v>0</v>
      </c>
      <c r="Q10" s="10">
        <f>'PowerHouse Data'!$K$16</f>
        <v>3504.2</v>
      </c>
      <c r="R10" s="10">
        <v>5824</v>
      </c>
      <c r="S10" s="10">
        <f>Table113456[[#This Row],[DG Milling NEXT SERVICE ]]-Table113456[[#This Row],[DG Milling Run Hr Meter]]</f>
        <v>131</v>
      </c>
      <c r="T10" s="10">
        <v>12643.5</v>
      </c>
      <c r="U10" s="10">
        <f>Table113456[[#This Row],[DG Parboil NEXT SERVICE]]-Table113456[[#This Row],[DG Parboiling 
Run Hr Meter]]</f>
        <v>105.29999999999927</v>
      </c>
      <c r="V10" s="27">
        <v>31150</v>
      </c>
      <c r="W10" s="27">
        <f>Table113456[[#This Row],[DG Utility NEXT SERVICE]]-Table113456[[#This Row],[DG Utility Run Hr Meter]]</f>
        <v>205.29999999999927</v>
      </c>
      <c r="X10" s="27">
        <v>3540</v>
      </c>
      <c r="Y10" s="27">
        <f>Table113456[[#This Row],[DG Admin NEXT SERVICE]]-Table113456[[#This Row],[DG Admin Run Hr Meter]]</f>
        <v>35.800000000000182</v>
      </c>
      <c r="Z10" s="27">
        <f>'PowerHouse Data'!$K$4</f>
        <v>712</v>
      </c>
      <c r="AA10" s="10"/>
      <c r="AB10" s="26">
        <v>7</v>
      </c>
      <c r="AC10" s="26">
        <v>10</v>
      </c>
      <c r="AD10" s="30">
        <f>'PowerHouse Data'!$K$5</f>
        <v>5184</v>
      </c>
    </row>
    <row r="11" spans="1:32" s="38" customFormat="1" ht="18" customHeight="1" x14ac:dyDescent="0.35">
      <c r="A11" s="33">
        <f>'PowerHouse Data'!$K$1</f>
        <v>46273</v>
      </c>
      <c r="B11" s="34">
        <v>0.29166666666666669</v>
      </c>
      <c r="C11" s="35">
        <f t="shared" si="2"/>
        <v>2178</v>
      </c>
      <c r="D11" s="35">
        <f>'PowerHouse Data'!$L$2</f>
        <v>2160</v>
      </c>
      <c r="E11" s="35">
        <f t="shared" si="0"/>
        <v>39386</v>
      </c>
      <c r="F11" s="35">
        <f>'PowerHouse Data'!$L$3</f>
        <v>0</v>
      </c>
      <c r="G11" s="35">
        <f>Table113456[[#This Row],[Main Tank
Opening Stock (Liters)]]-Table113456[[#This Row],[Main Tank
Closing Stock (Liters)]]+Table113456[[#This Row],[Received (Liters)]]</f>
        <v>312</v>
      </c>
      <c r="H11" s="35">
        <f t="shared" si="1"/>
        <v>39074</v>
      </c>
      <c r="I11" s="35">
        <f>Table113456[[#This Row],[Main Tank
Closing Stock (Liters)]]+AD11</f>
        <v>44258</v>
      </c>
      <c r="J11" s="35">
        <f>Table113456[[#This Row],[DG Milling Run Hr Meter]]-K10</f>
        <v>5.6999999999998181</v>
      </c>
      <c r="K11" s="35">
        <f>'PowerHouse Data'!$L$13</f>
        <v>5698.7</v>
      </c>
      <c r="L11" s="35">
        <f>Table113456[[#This Row],[DG Parboiling 
Run Hr Meter]]-M10</f>
        <v>0</v>
      </c>
      <c r="M11" s="35">
        <f>'PowerHouse Data'!$L$14</f>
        <v>12538.2</v>
      </c>
      <c r="N11" s="35">
        <f>Table113456[[#This Row],[DG Utility Run Hr Meter]]-O10</f>
        <v>0</v>
      </c>
      <c r="O11" s="35">
        <f>'PowerHouse Data'!$L$15</f>
        <v>30944.7</v>
      </c>
      <c r="P11" s="35">
        <f>Table113456[[#This Row],[DG Admin Run Hr Meter]]-Q10</f>
        <v>0</v>
      </c>
      <c r="Q11" s="35">
        <f>'PowerHouse Data'!$L$16</f>
        <v>3504.2</v>
      </c>
      <c r="R11" s="39">
        <v>5824</v>
      </c>
      <c r="S11" s="35">
        <f>Table113456[[#This Row],[DG Milling NEXT SERVICE ]]-Table113456[[#This Row],[DG Milling Run Hr Meter]]</f>
        <v>125.30000000000018</v>
      </c>
      <c r="T11" s="39">
        <v>12643.5</v>
      </c>
      <c r="U11" s="39">
        <f>Table113456[[#This Row],[DG Parboil NEXT SERVICE]]-Table113456[[#This Row],[DG Parboiling 
Run Hr Meter]]</f>
        <v>105.29999999999927</v>
      </c>
      <c r="V11" s="27">
        <v>31150</v>
      </c>
      <c r="W11" s="46">
        <f>Table113456[[#This Row],[DG Utility NEXT SERVICE]]-Table113456[[#This Row],[DG Utility Run Hr Meter]]</f>
        <v>205.29999999999927</v>
      </c>
      <c r="X11" s="27">
        <v>3540</v>
      </c>
      <c r="Y11" s="46">
        <f>Table113456[[#This Row],[DG Admin NEXT SERVICE]]-Table113456[[#This Row],[DG Admin Run Hr Meter]]</f>
        <v>35.800000000000182</v>
      </c>
      <c r="Z11" s="36">
        <f>'PowerHouse Data'!$L$4</f>
        <v>10</v>
      </c>
      <c r="AA11" s="35"/>
      <c r="AB11" s="44">
        <v>8</v>
      </c>
      <c r="AC11" s="26">
        <v>12</v>
      </c>
      <c r="AD11" s="37">
        <f>'PowerHouse Data'!$L$5</f>
        <v>5184</v>
      </c>
      <c r="AF11" s="40"/>
    </row>
    <row r="12" spans="1:32" ht="18" customHeight="1" x14ac:dyDescent="0.35">
      <c r="A12" s="13">
        <f>'PowerHouse Data'!$L$1</f>
        <v>46274</v>
      </c>
      <c r="B12" s="14">
        <v>0.29166666666666669</v>
      </c>
      <c r="C12" s="10">
        <f t="shared" si="2"/>
        <v>2160</v>
      </c>
      <c r="D12" s="10">
        <f>'PowerHouse Data'!$M$2</f>
        <v>2156</v>
      </c>
      <c r="E12" s="10">
        <f t="shared" si="0"/>
        <v>39074</v>
      </c>
      <c r="F12" s="10">
        <f>'PowerHouse Data'!$M$3</f>
        <v>0</v>
      </c>
      <c r="G12" s="10">
        <f>Table113456[[#This Row],[Main Tank
Opening Stock (Liters)]]-Table113456[[#This Row],[Main Tank
Closing Stock (Liters)]]+Table113456[[#This Row],[Received (Liters)]]</f>
        <v>70</v>
      </c>
      <c r="H12" s="10">
        <f t="shared" si="1"/>
        <v>39004</v>
      </c>
      <c r="I12" s="10">
        <f>Table113456[[#This Row],[Main Tank
Closing Stock (Liters)]]+AD12</f>
        <v>44188</v>
      </c>
      <c r="J12" s="10">
        <f>Table113456[[#This Row],[DG Milling Run Hr Meter]]-K11</f>
        <v>0.9000000000005457</v>
      </c>
      <c r="K12" s="10">
        <f>'PowerHouse Data'!$M$13</f>
        <v>5699.6</v>
      </c>
      <c r="L12" s="10">
        <f>Table113456[[#This Row],[DG Parboiling 
Run Hr Meter]]-M11</f>
        <v>0</v>
      </c>
      <c r="M12" s="10">
        <f>'PowerHouse Data'!$M$14</f>
        <v>12538.2</v>
      </c>
      <c r="N12" s="10">
        <f>Table113456[[#This Row],[DG Utility Run Hr Meter]]-O11</f>
        <v>0.7000000000007276</v>
      </c>
      <c r="O12" s="10">
        <f>'PowerHouse Data'!$M$15</f>
        <v>30945.4</v>
      </c>
      <c r="P12" s="10">
        <f>Table113456[[#This Row],[DG Admin Run Hr Meter]]-Q11</f>
        <v>0</v>
      </c>
      <c r="Q12" s="10">
        <f>'PowerHouse Data'!$M$16</f>
        <v>3504.2</v>
      </c>
      <c r="R12" s="10">
        <v>5824</v>
      </c>
      <c r="S12" s="10">
        <f>Table113456[[#This Row],[DG Milling NEXT SERVICE ]]-Table113456[[#This Row],[DG Milling Run Hr Meter]]</f>
        <v>124.39999999999964</v>
      </c>
      <c r="T12" s="10">
        <v>12643.5</v>
      </c>
      <c r="U12" s="10">
        <f>Table113456[[#This Row],[DG Parboil NEXT SERVICE]]-Table113456[[#This Row],[DG Parboiling 
Run Hr Meter]]</f>
        <v>105.29999999999927</v>
      </c>
      <c r="V12" s="27">
        <v>31150</v>
      </c>
      <c r="W12" s="27">
        <f>Table113456[[#This Row],[DG Utility NEXT SERVICE]]-Table113456[[#This Row],[DG Utility Run Hr Meter]]</f>
        <v>204.59999999999854</v>
      </c>
      <c r="X12" s="27">
        <v>3540</v>
      </c>
      <c r="Y12" s="27">
        <f>Table113456[[#This Row],[DG Admin NEXT SERVICE]]-Table113456[[#This Row],[DG Admin Run Hr Meter]]</f>
        <v>35.800000000000182</v>
      </c>
      <c r="Z12" s="27">
        <f>'PowerHouse Data'!$M$4</f>
        <v>28</v>
      </c>
      <c r="AA12" s="10"/>
      <c r="AB12" s="26">
        <v>9</v>
      </c>
      <c r="AC12" s="26">
        <v>14.5</v>
      </c>
      <c r="AD12" s="30">
        <f>'PowerHouse Data'!$M$5</f>
        <v>5184</v>
      </c>
    </row>
    <row r="13" spans="1:32" s="38" customFormat="1" ht="18" customHeight="1" x14ac:dyDescent="0.35">
      <c r="A13" s="33">
        <f>'PowerHouse Data'!$M$1</f>
        <v>46275</v>
      </c>
      <c r="B13" s="34">
        <v>0.29166666666666669</v>
      </c>
      <c r="C13" s="35">
        <f t="shared" si="2"/>
        <v>2156</v>
      </c>
      <c r="D13" s="35">
        <f>'PowerHouse Data'!$N$2</f>
        <v>2146</v>
      </c>
      <c r="E13" s="35">
        <f t="shared" si="0"/>
        <v>39004</v>
      </c>
      <c r="F13" s="35">
        <f>'PowerHouse Data'!$N$3</f>
        <v>0</v>
      </c>
      <c r="G13" s="35">
        <f>Table113456[[#This Row],[Main Tank
Opening Stock (Liters)]]-Table113456[[#This Row],[Main Tank
Closing Stock (Liters)]]+Table113456[[#This Row],[Received (Liters)]]</f>
        <v>175</v>
      </c>
      <c r="H13" s="35">
        <f t="shared" si="1"/>
        <v>38829</v>
      </c>
      <c r="I13" s="35">
        <f>Table113456[[#This Row],[Main Tank
Closing Stock (Liters)]]+AD13</f>
        <v>44013</v>
      </c>
      <c r="J13" s="35">
        <f>Table113456[[#This Row],[DG Milling Run Hr Meter]]-K12</f>
        <v>2.8999999999996362</v>
      </c>
      <c r="K13" s="35">
        <f>'PowerHouse Data'!$N$13</f>
        <v>5702.5</v>
      </c>
      <c r="L13" s="35">
        <f>Table113456[[#This Row],[DG Parboiling 
Run Hr Meter]]-M12</f>
        <v>0</v>
      </c>
      <c r="M13" s="35">
        <f>'PowerHouse Data'!$N$14</f>
        <v>12538.2</v>
      </c>
      <c r="N13" s="35">
        <f>Table113456[[#This Row],[DG Utility Run Hr Meter]]-O12</f>
        <v>0.7999999999992724</v>
      </c>
      <c r="O13" s="35">
        <f>'PowerHouse Data'!$N$15</f>
        <v>30946.2</v>
      </c>
      <c r="P13" s="35">
        <f>Table113456[[#This Row],[DG Admin Run Hr Meter]]-Q12</f>
        <v>0</v>
      </c>
      <c r="Q13" s="35">
        <f>'PowerHouse Data'!$N$16</f>
        <v>3504.2</v>
      </c>
      <c r="R13" s="39">
        <v>5824</v>
      </c>
      <c r="S13" s="35">
        <f>Table113456[[#This Row],[DG Milling NEXT SERVICE ]]-Table113456[[#This Row],[DG Milling Run Hr Meter]]</f>
        <v>121.5</v>
      </c>
      <c r="T13" s="39">
        <v>12643.5</v>
      </c>
      <c r="U13" s="39">
        <f>Table113456[[#This Row],[DG Parboil NEXT SERVICE]]-Table113456[[#This Row],[DG Parboiling 
Run Hr Meter]]</f>
        <v>105.29999999999927</v>
      </c>
      <c r="V13" s="27">
        <v>31150</v>
      </c>
      <c r="W13" s="46">
        <f>Table113456[[#This Row],[DG Utility NEXT SERVICE]]-Table113456[[#This Row],[DG Utility Run Hr Meter]]</f>
        <v>203.79999999999927</v>
      </c>
      <c r="X13" s="27">
        <v>3540</v>
      </c>
      <c r="Y13" s="46">
        <f>Table113456[[#This Row],[DG Admin NEXT SERVICE]]-Table113456[[#This Row],[DG Admin Run Hr Meter]]</f>
        <v>35.800000000000182</v>
      </c>
      <c r="Z13" s="36">
        <f>'PowerHouse Data'!$N$4</f>
        <v>38</v>
      </c>
      <c r="AA13" s="35"/>
      <c r="AB13" s="44">
        <v>10</v>
      </c>
      <c r="AC13" s="26">
        <v>17</v>
      </c>
      <c r="AD13" s="37">
        <f>'PowerHouse Data'!$N$5</f>
        <v>5184</v>
      </c>
    </row>
    <row r="14" spans="1:32" ht="18" customHeight="1" x14ac:dyDescent="0.35">
      <c r="A14" s="13">
        <f>'PowerHouse Data'!$N$1</f>
        <v>46276</v>
      </c>
      <c r="B14" s="14">
        <v>0.29166666666666669</v>
      </c>
      <c r="C14" s="10">
        <f t="shared" si="2"/>
        <v>2146</v>
      </c>
      <c r="D14" s="10">
        <f>'PowerHouse Data'!$O$2</f>
        <v>2146</v>
      </c>
      <c r="E14" s="10">
        <f t="shared" si="0"/>
        <v>38829</v>
      </c>
      <c r="F14" s="10">
        <f>'PowerHouse Data'!$O$3</f>
        <v>0</v>
      </c>
      <c r="G14" s="10">
        <f>Table113456[[#This Row],[Main Tank
Opening Stock (Liters)]]-Table113456[[#This Row],[Main Tank
Closing Stock (Liters)]]+Table113456[[#This Row],[Received (Liters)]]</f>
        <v>0</v>
      </c>
      <c r="H14" s="10">
        <f t="shared" si="1"/>
        <v>38829</v>
      </c>
      <c r="I14" s="10">
        <f>Table113456[[#This Row],[Main Tank
Closing Stock (Liters)]]+AD14</f>
        <v>44013</v>
      </c>
      <c r="J14" s="10">
        <f>Table113456[[#This Row],[DG Milling Run Hr Meter]]-K13</f>
        <v>0</v>
      </c>
      <c r="K14" s="10">
        <f>'PowerHouse Data'!$O$13</f>
        <v>5702.5</v>
      </c>
      <c r="L14" s="10">
        <f>Table113456[[#This Row],[DG Parboiling 
Run Hr Meter]]-M13</f>
        <v>0</v>
      </c>
      <c r="M14" s="10">
        <f>'PowerHouse Data'!$O$14</f>
        <v>12538.2</v>
      </c>
      <c r="N14" s="10">
        <f>Table113456[[#This Row],[DG Utility Run Hr Meter]]-O13</f>
        <v>2.2999999999992724</v>
      </c>
      <c r="O14" s="10">
        <f>'PowerHouse Data'!$O$15</f>
        <v>30948.5</v>
      </c>
      <c r="P14" s="10">
        <f>Table113456[[#This Row],[DG Admin Run Hr Meter]]-Q13</f>
        <v>0</v>
      </c>
      <c r="Q14" s="10">
        <f>'PowerHouse Data'!$O$16</f>
        <v>3504.2</v>
      </c>
      <c r="R14" s="10">
        <v>5824</v>
      </c>
      <c r="S14" s="10">
        <f>Table113456[[#This Row],[DG Milling NEXT SERVICE ]]-Table113456[[#This Row],[DG Milling Run Hr Meter]]</f>
        <v>121.5</v>
      </c>
      <c r="T14" s="10">
        <v>12643.5</v>
      </c>
      <c r="U14" s="10">
        <f>Table113456[[#This Row],[DG Parboil NEXT SERVICE]]-Table113456[[#This Row],[DG Parboiling 
Run Hr Meter]]</f>
        <v>105.29999999999927</v>
      </c>
      <c r="V14" s="27">
        <v>31150</v>
      </c>
      <c r="W14" s="27">
        <f>Table113456[[#This Row],[DG Utility NEXT SERVICE]]-Table113456[[#This Row],[DG Utility Run Hr Meter]]</f>
        <v>201.5</v>
      </c>
      <c r="X14" s="27">
        <v>3540</v>
      </c>
      <c r="Y14" s="27">
        <f>Table113456[[#This Row],[DG Admin NEXT SERVICE]]-Table113456[[#This Row],[DG Admin Run Hr Meter]]</f>
        <v>35.800000000000182</v>
      </c>
      <c r="Z14" s="27">
        <f>'PowerHouse Data'!$O$4</f>
        <v>0</v>
      </c>
      <c r="AA14" s="10"/>
      <c r="AB14" s="26">
        <v>11</v>
      </c>
      <c r="AC14" s="26">
        <v>19.5</v>
      </c>
      <c r="AD14" s="30">
        <f>'PowerHouse Data'!$O$5</f>
        <v>5184</v>
      </c>
    </row>
    <row r="15" spans="1:32" s="38" customFormat="1" ht="18" customHeight="1" x14ac:dyDescent="0.35">
      <c r="A15" s="33">
        <f>'PowerHouse Data'!$O$1</f>
        <v>46277</v>
      </c>
      <c r="B15" s="34">
        <v>0.29166666666666669</v>
      </c>
      <c r="C15" s="35">
        <f t="shared" si="2"/>
        <v>2146</v>
      </c>
      <c r="D15" s="35">
        <f>'PowerHouse Data'!$P$2</f>
        <v>2146</v>
      </c>
      <c r="E15" s="35">
        <f t="shared" si="0"/>
        <v>38829</v>
      </c>
      <c r="F15" s="35">
        <f>'PowerHouse Data'!$P$3</f>
        <v>0</v>
      </c>
      <c r="G15" s="35">
        <f>Table113456[[#This Row],[Main Tank
Opening Stock (Liters)]]-Table113456[[#This Row],[Main Tank
Closing Stock (Liters)]]+Table113456[[#This Row],[Received (Liters)]]</f>
        <v>0</v>
      </c>
      <c r="H15" s="35">
        <f t="shared" si="1"/>
        <v>38829</v>
      </c>
      <c r="I15" s="35">
        <f>Table113456[[#This Row],[Main Tank
Closing Stock (Liters)]]+AD15</f>
        <v>43947</v>
      </c>
      <c r="J15" s="35">
        <f>Table113456[[#This Row],[DG Milling Run Hr Meter]]-K14</f>
        <v>0</v>
      </c>
      <c r="K15" s="35">
        <f>'PowerHouse Data'!$P$13</f>
        <v>5702.5</v>
      </c>
      <c r="L15" s="35">
        <f>Table113456[[#This Row],[DG Parboiling 
Run Hr Meter]]-M14</f>
        <v>0</v>
      </c>
      <c r="M15" s="35">
        <f>'PowerHouse Data'!$P$14</f>
        <v>12538.2</v>
      </c>
      <c r="N15" s="35">
        <f>Table113456[[#This Row],[DG Utility Run Hr Meter]]-O14</f>
        <v>1.2999999999992724</v>
      </c>
      <c r="O15" s="35">
        <f>'PowerHouse Data'!$P$15</f>
        <v>30949.8</v>
      </c>
      <c r="P15" s="35">
        <f>Table113456[[#This Row],[DG Admin Run Hr Meter]]-Q14</f>
        <v>0</v>
      </c>
      <c r="Q15" s="35">
        <f>'PowerHouse Data'!$P$16</f>
        <v>3504.2</v>
      </c>
      <c r="R15" s="39">
        <v>5824</v>
      </c>
      <c r="S15" s="35">
        <f>Table113456[[#This Row],[DG Milling NEXT SERVICE ]]-Table113456[[#This Row],[DG Milling Run Hr Meter]]</f>
        <v>121.5</v>
      </c>
      <c r="T15" s="39">
        <v>12643.5</v>
      </c>
      <c r="U15" s="39">
        <f>Table113456[[#This Row],[DG Parboil NEXT SERVICE]]-Table113456[[#This Row],[DG Parboiling 
Run Hr Meter]]</f>
        <v>105.29999999999927</v>
      </c>
      <c r="V15" s="27">
        <v>31150</v>
      </c>
      <c r="W15" s="46">
        <f>Table113456[[#This Row],[DG Utility NEXT SERVICE]]-Table113456[[#This Row],[DG Utility Run Hr Meter]]</f>
        <v>200.20000000000073</v>
      </c>
      <c r="X15" s="27">
        <v>3540</v>
      </c>
      <c r="Y15" s="46">
        <f>Table113456[[#This Row],[DG Admin NEXT SERVICE]]-Table113456[[#This Row],[DG Admin Run Hr Meter]]</f>
        <v>35.800000000000182</v>
      </c>
      <c r="Z15" s="36">
        <f>'PowerHouse Data'!$P$4</f>
        <v>66</v>
      </c>
      <c r="AA15" s="35"/>
      <c r="AB15" s="44">
        <v>12</v>
      </c>
      <c r="AC15" s="26">
        <v>22</v>
      </c>
      <c r="AD15" s="37">
        <f>'PowerHouse Data'!$P$5</f>
        <v>5118</v>
      </c>
    </row>
    <row r="16" spans="1:32" ht="18" customHeight="1" x14ac:dyDescent="0.35">
      <c r="A16" s="13">
        <f>'PowerHouse Data'!$P$1</f>
        <v>46278</v>
      </c>
      <c r="B16" s="14">
        <v>0.29166666666666669</v>
      </c>
      <c r="C16" s="10">
        <f t="shared" si="2"/>
        <v>2146</v>
      </c>
      <c r="D16" s="10">
        <f>'PowerHouse Data'!$Q$2</f>
        <v>2146</v>
      </c>
      <c r="E16" s="10">
        <f t="shared" si="0"/>
        <v>38829</v>
      </c>
      <c r="F16" s="10">
        <f>'PowerHouse Data'!$Q$3</f>
        <v>0</v>
      </c>
      <c r="G16" s="10">
        <f>Table113456[[#This Row],[Main Tank
Opening Stock (Liters)]]-Table113456[[#This Row],[Main Tank
Closing Stock (Liters)]]+Table113456[[#This Row],[Received (Liters)]]</f>
        <v>0</v>
      </c>
      <c r="H16" s="10">
        <f t="shared" si="1"/>
        <v>38829</v>
      </c>
      <c r="I16" s="10">
        <f>Table113456[[#This Row],[Main Tank
Closing Stock (Liters)]]+AD16</f>
        <v>43947</v>
      </c>
      <c r="J16" s="10">
        <f>Table113456[[#This Row],[DG Milling Run Hr Meter]]-K15</f>
        <v>0</v>
      </c>
      <c r="K16" s="10">
        <f>'PowerHouse Data'!$Q$13</f>
        <v>5702.5</v>
      </c>
      <c r="L16" s="10">
        <f>Table113456[[#This Row],[DG Parboiling 
Run Hr Meter]]-M15</f>
        <v>0</v>
      </c>
      <c r="M16" s="10">
        <f>'PowerHouse Data'!$Q$14</f>
        <v>12538.2</v>
      </c>
      <c r="N16" s="10">
        <f>Table113456[[#This Row],[DG Utility Run Hr Meter]]-O15</f>
        <v>0</v>
      </c>
      <c r="O16" s="10">
        <f>'PowerHouse Data'!$Q$15</f>
        <v>30949.8</v>
      </c>
      <c r="P16" s="10">
        <f>Table113456[[#This Row],[DG Admin Run Hr Meter]]-Q15</f>
        <v>0</v>
      </c>
      <c r="Q16" s="10">
        <f>'PowerHouse Data'!$Q$16</f>
        <v>3504.2</v>
      </c>
      <c r="R16" s="10">
        <v>5824</v>
      </c>
      <c r="S16" s="10">
        <f>Table113456[[#This Row],[DG Milling NEXT SERVICE ]]-Table113456[[#This Row],[DG Milling Run Hr Meter]]</f>
        <v>121.5</v>
      </c>
      <c r="T16" s="10">
        <v>12643.5</v>
      </c>
      <c r="U16" s="10">
        <f>Table113456[[#This Row],[DG Parboil NEXT SERVICE]]-Table113456[[#This Row],[DG Parboiling 
Run Hr Meter]]</f>
        <v>105.29999999999927</v>
      </c>
      <c r="V16" s="27">
        <v>31150</v>
      </c>
      <c r="W16" s="27">
        <f>Table113456[[#This Row],[DG Utility NEXT SERVICE]]-Table113456[[#This Row],[DG Utility Run Hr Meter]]</f>
        <v>200.20000000000073</v>
      </c>
      <c r="X16" s="27">
        <v>3540</v>
      </c>
      <c r="Y16" s="27">
        <f>Table113456[[#This Row],[DG Admin NEXT SERVICE]]-Table113456[[#This Row],[DG Admin Run Hr Meter]]</f>
        <v>35.800000000000182</v>
      </c>
      <c r="Z16" s="27">
        <f>'PowerHouse Data'!$Q$4</f>
        <v>0</v>
      </c>
      <c r="AA16" s="10"/>
      <c r="AB16" s="26">
        <v>13</v>
      </c>
      <c r="AC16" s="26">
        <v>25</v>
      </c>
      <c r="AD16" s="30">
        <f>'PowerHouse Data'!$Q$5</f>
        <v>5118</v>
      </c>
    </row>
    <row r="17" spans="1:30" s="38" customFormat="1" ht="18" customHeight="1" x14ac:dyDescent="0.35">
      <c r="A17" s="33">
        <f>'PowerHouse Data'!$Q$1</f>
        <v>46279</v>
      </c>
      <c r="B17" s="34">
        <v>0.29166666666666669</v>
      </c>
      <c r="C17" s="35">
        <f t="shared" si="2"/>
        <v>2146</v>
      </c>
      <c r="D17" s="35">
        <f>'PowerHouse Data'!$R$2</f>
        <v>2146</v>
      </c>
      <c r="E17" s="35">
        <f t="shared" si="0"/>
        <v>38829</v>
      </c>
      <c r="F17" s="35">
        <f>'PowerHouse Data'!$R$3</f>
        <v>0</v>
      </c>
      <c r="G17" s="35">
        <f>Table113456[[#This Row],[Main Tank
Opening Stock (Liters)]]-Table113456[[#This Row],[Main Tank
Closing Stock (Liters)]]+Table113456[[#This Row],[Received (Liters)]]</f>
        <v>0</v>
      </c>
      <c r="H17" s="35">
        <f t="shared" si="1"/>
        <v>38829</v>
      </c>
      <c r="I17" s="35">
        <f>Table113456[[#This Row],[Main Tank
Closing Stock (Liters)]]+AD17</f>
        <v>43937</v>
      </c>
      <c r="J17" s="35">
        <f>Table113456[[#This Row],[DG Milling Run Hr Meter]]-K16</f>
        <v>0</v>
      </c>
      <c r="K17" s="35">
        <f>'PowerHouse Data'!$R$13</f>
        <v>5702.5</v>
      </c>
      <c r="L17" s="35">
        <f>Table113456[[#This Row],[DG Parboiling 
Run Hr Meter]]-M16</f>
        <v>0</v>
      </c>
      <c r="M17" s="35">
        <f>'PowerHouse Data'!$R$14</f>
        <v>12538.2</v>
      </c>
      <c r="N17" s="35">
        <f>Table113456[[#This Row],[DG Utility Run Hr Meter]]-O16</f>
        <v>1.2999999999992724</v>
      </c>
      <c r="O17" s="35">
        <f>'PowerHouse Data'!$R$15</f>
        <v>30951.1</v>
      </c>
      <c r="P17" s="35">
        <f>Table113456[[#This Row],[DG Admin Run Hr Meter]]-Q16</f>
        <v>0</v>
      </c>
      <c r="Q17" s="35">
        <f>'PowerHouse Data'!$R$16</f>
        <v>3504.2</v>
      </c>
      <c r="R17" s="39">
        <v>5824</v>
      </c>
      <c r="S17" s="35">
        <f>Table113456[[#This Row],[DG Milling NEXT SERVICE ]]-Table113456[[#This Row],[DG Milling Run Hr Meter]]</f>
        <v>121.5</v>
      </c>
      <c r="T17" s="39">
        <v>12643.5</v>
      </c>
      <c r="U17" s="39">
        <f>Table113456[[#This Row],[DG Parboil NEXT SERVICE]]-Table113456[[#This Row],[DG Parboiling 
Run Hr Meter]]</f>
        <v>105.29999999999927</v>
      </c>
      <c r="V17" s="27">
        <v>31150</v>
      </c>
      <c r="W17" s="46">
        <f>Table113456[[#This Row],[DG Utility NEXT SERVICE]]-Table113456[[#This Row],[DG Utility Run Hr Meter]]</f>
        <v>198.90000000000146</v>
      </c>
      <c r="X17" s="27">
        <v>3540</v>
      </c>
      <c r="Y17" s="46">
        <f>Table113456[[#This Row],[DG Admin NEXT SERVICE]]-Table113456[[#This Row],[DG Admin Run Hr Meter]]</f>
        <v>35.800000000000182</v>
      </c>
      <c r="Z17" s="36">
        <f>'PowerHouse Data'!$R$4</f>
        <v>10</v>
      </c>
      <c r="AA17" s="35"/>
      <c r="AB17" s="26">
        <v>14</v>
      </c>
      <c r="AC17" s="26">
        <v>28</v>
      </c>
      <c r="AD17" s="37">
        <f>'PowerHouse Data'!$R$5</f>
        <v>5108</v>
      </c>
    </row>
    <row r="18" spans="1:30" ht="18" customHeight="1" x14ac:dyDescent="0.35">
      <c r="A18" s="13">
        <f>'PowerHouse Data'!$R$1</f>
        <v>46280</v>
      </c>
      <c r="B18" s="14">
        <v>0.29166666666666669</v>
      </c>
      <c r="C18" s="10">
        <f t="shared" si="2"/>
        <v>2146</v>
      </c>
      <c r="D18" s="10">
        <f>'PowerHouse Data'!$S$2</f>
        <v>2126</v>
      </c>
      <c r="E18" s="10">
        <f t="shared" si="0"/>
        <v>38829</v>
      </c>
      <c r="F18" s="10">
        <f>'PowerHouse Data'!$S$3</f>
        <v>0</v>
      </c>
      <c r="G18" s="10">
        <f>Table113456[[#This Row],[Main Tank
Opening Stock (Liters)]]-Table113456[[#This Row],[Main Tank
Closing Stock (Liters)]]+Table113456[[#This Row],[Received (Liters)]]</f>
        <v>353.5</v>
      </c>
      <c r="H18" s="10">
        <f t="shared" si="1"/>
        <v>38475.5</v>
      </c>
      <c r="I18" s="10">
        <f>Table113456[[#This Row],[Main Tank
Closing Stock (Liters)]]+AD18</f>
        <v>43659.5</v>
      </c>
      <c r="J18" s="10">
        <f>Table113456[[#This Row],[DG Milling Run Hr Meter]]-K17</f>
        <v>0</v>
      </c>
      <c r="K18" s="10">
        <f>'PowerHouse Data'!$S$13</f>
        <v>5702.5</v>
      </c>
      <c r="L18" s="10">
        <f>Table113456[[#This Row],[DG Parboiling 
Run Hr Meter]]-M17</f>
        <v>0</v>
      </c>
      <c r="M18" s="10">
        <f>'PowerHouse Data'!$S$14</f>
        <v>12538.2</v>
      </c>
      <c r="N18" s="10">
        <f>Table113456[[#This Row],[DG Utility Run Hr Meter]]-O17</f>
        <v>5.9000000000014552</v>
      </c>
      <c r="O18" s="10">
        <f>'PowerHouse Data'!$S$15</f>
        <v>30957</v>
      </c>
      <c r="P18" s="10">
        <f>Table113456[[#This Row],[DG Admin Run Hr Meter]]-Q17</f>
        <v>0</v>
      </c>
      <c r="Q18" s="10">
        <f>'PowerHouse Data'!$S$16</f>
        <v>3504.2</v>
      </c>
      <c r="R18" s="10">
        <v>5824</v>
      </c>
      <c r="S18" s="10">
        <f>Table113456[[#This Row],[DG Milling NEXT SERVICE ]]-Table113456[[#This Row],[DG Milling Run Hr Meter]]</f>
        <v>121.5</v>
      </c>
      <c r="T18" s="10">
        <v>12643.5</v>
      </c>
      <c r="U18" s="10">
        <f>Table113456[[#This Row],[DG Parboil NEXT SERVICE]]-Table113456[[#This Row],[DG Parboiling 
Run Hr Meter]]</f>
        <v>105.29999999999927</v>
      </c>
      <c r="V18" s="27">
        <v>31150</v>
      </c>
      <c r="W18" s="27">
        <f>Table113456[[#This Row],[DG Utility NEXT SERVICE]]-Table113456[[#This Row],[DG Utility Run Hr Meter]]</f>
        <v>193</v>
      </c>
      <c r="X18" s="27">
        <v>3540</v>
      </c>
      <c r="Y18" s="27">
        <f>Table113456[[#This Row],[DG Admin NEXT SERVICE]]-Table113456[[#This Row],[DG Admin Run Hr Meter]]</f>
        <v>35.800000000000182</v>
      </c>
      <c r="Z18" s="27">
        <f>'PowerHouse Data'!$S$4</f>
        <v>277</v>
      </c>
      <c r="AA18" s="10"/>
      <c r="AB18" s="44">
        <v>15</v>
      </c>
      <c r="AC18" s="26">
        <v>31</v>
      </c>
      <c r="AD18" s="30">
        <f>'PowerHouse Data'!$S$5</f>
        <v>5184</v>
      </c>
    </row>
    <row r="19" spans="1:30" s="38" customFormat="1" ht="18" customHeight="1" x14ac:dyDescent="0.35">
      <c r="A19" s="33">
        <f>'PowerHouse Data'!$S$1</f>
        <v>46281</v>
      </c>
      <c r="B19" s="34">
        <v>0.29166666666666669</v>
      </c>
      <c r="C19" s="35">
        <f t="shared" si="2"/>
        <v>2126</v>
      </c>
      <c r="D19" s="35">
        <f>'PowerHouse Data'!$T$2</f>
        <v>0</v>
      </c>
      <c r="E19" s="35">
        <f t="shared" si="0"/>
        <v>38475.5</v>
      </c>
      <c r="F19" s="35">
        <f>'PowerHouse Data'!$T$3</f>
        <v>0</v>
      </c>
      <c r="G19" s="35">
        <f>Table113456[[#This Row],[Main Tank
Opening Stock (Liters)]]-Table113456[[#This Row],[Main Tank
Closing Stock (Liters)]]+Table113456[[#This Row],[Received (Liters)]]</f>
        <v>38475.5</v>
      </c>
      <c r="H19" s="35">
        <f t="shared" si="1"/>
        <v>0</v>
      </c>
      <c r="I19" s="35">
        <f>Table113456[[#This Row],[Main Tank
Closing Stock (Liters)]]+AD19</f>
        <v>0</v>
      </c>
      <c r="J19" s="35">
        <f>Table113456[[#This Row],[DG Milling Run Hr Meter]]-K18</f>
        <v>-5702.5</v>
      </c>
      <c r="K19" s="35">
        <f>'PowerHouse Data'!$T$13</f>
        <v>0</v>
      </c>
      <c r="L19" s="35">
        <f>Table113456[[#This Row],[DG Parboiling 
Run Hr Meter]]-M18</f>
        <v>-12538.2</v>
      </c>
      <c r="M19" s="35">
        <f>'PowerHouse Data'!$T$14</f>
        <v>0</v>
      </c>
      <c r="N19" s="35">
        <f>Table113456[[#This Row],[DG Utility Run Hr Meter]]-O18</f>
        <v>-30957</v>
      </c>
      <c r="O19" s="35">
        <f>'PowerHouse Data'!$T$15</f>
        <v>0</v>
      </c>
      <c r="P19" s="35">
        <f>Table113456[[#This Row],[DG Admin Run Hr Meter]]-Q18</f>
        <v>-3504.2</v>
      </c>
      <c r="Q19" s="35">
        <f>'PowerHouse Data'!$T$16</f>
        <v>0</v>
      </c>
      <c r="R19" s="39">
        <v>5824</v>
      </c>
      <c r="S19" s="35">
        <f>Table113456[[#This Row],[DG Milling NEXT SERVICE ]]-Table113456[[#This Row],[DG Milling Run Hr Meter]]</f>
        <v>5824</v>
      </c>
      <c r="T19" s="39">
        <v>12643.5</v>
      </c>
      <c r="U19" s="39">
        <f>Table113456[[#This Row],[DG Parboil NEXT SERVICE]]-Table113456[[#This Row],[DG Parboiling 
Run Hr Meter]]</f>
        <v>12643.5</v>
      </c>
      <c r="V19" s="27">
        <v>31150</v>
      </c>
      <c r="W19" s="46">
        <f>Table113456[[#This Row],[DG Utility NEXT SERVICE]]-Table113456[[#This Row],[DG Utility Run Hr Meter]]</f>
        <v>31150</v>
      </c>
      <c r="X19" s="27">
        <v>3540</v>
      </c>
      <c r="Y19" s="46">
        <f>Table113456[[#This Row],[DG Admin NEXT SERVICE]]-Table113456[[#This Row],[DG Admin Run Hr Meter]]</f>
        <v>3540</v>
      </c>
      <c r="Z19" s="36">
        <f>'PowerHouse Data'!$T$4</f>
        <v>0</v>
      </c>
      <c r="AA19" s="35"/>
      <c r="AB19" s="26">
        <v>16</v>
      </c>
      <c r="AC19" s="26">
        <v>34</v>
      </c>
      <c r="AD19" s="37">
        <f>'PowerHouse Data'!$T$5</f>
        <v>0</v>
      </c>
    </row>
    <row r="20" spans="1:30" ht="18" customHeight="1" x14ac:dyDescent="0.35">
      <c r="A20" s="13">
        <f>'PowerHouse Data'!$T$1</f>
        <v>46282</v>
      </c>
      <c r="B20" s="14">
        <v>0.29166666666666669</v>
      </c>
      <c r="C20" s="10">
        <f t="shared" si="2"/>
        <v>0</v>
      </c>
      <c r="D20" s="10">
        <f>'PowerHouse Data'!$U$2</f>
        <v>0</v>
      </c>
      <c r="E20" s="10">
        <f t="shared" si="0"/>
        <v>0</v>
      </c>
      <c r="F20" s="10">
        <f>'PowerHouse Data'!$U$3</f>
        <v>0</v>
      </c>
      <c r="G20" s="10">
        <f>Table113456[[#This Row],[Main Tank
Opening Stock (Liters)]]-Table113456[[#This Row],[Main Tank
Closing Stock (Liters)]]+Table113456[[#This Row],[Received (Liters)]]</f>
        <v>0</v>
      </c>
      <c r="H20" s="10">
        <f t="shared" si="1"/>
        <v>0</v>
      </c>
      <c r="I20" s="10">
        <f>Table113456[[#This Row],[Main Tank
Closing Stock (Liters)]]+AD20</f>
        <v>0</v>
      </c>
      <c r="J20" s="10">
        <f>Table113456[[#This Row],[DG Milling Run Hr Meter]]-K19</f>
        <v>0</v>
      </c>
      <c r="K20" s="10">
        <f>'PowerHouse Data'!$U$13</f>
        <v>0</v>
      </c>
      <c r="L20" s="10">
        <f>Table113456[[#This Row],[DG Parboiling 
Run Hr Meter]]-M19</f>
        <v>0</v>
      </c>
      <c r="M20" s="10">
        <f>'PowerHouse Data'!$U$14</f>
        <v>0</v>
      </c>
      <c r="N20" s="10">
        <f>Table113456[[#This Row],[DG Utility Run Hr Meter]]-O19</f>
        <v>0</v>
      </c>
      <c r="O20" s="10">
        <f>'PowerHouse Data'!$U$15</f>
        <v>0</v>
      </c>
      <c r="P20" s="10">
        <f>Table113456[[#This Row],[DG Admin Run Hr Meter]]-Q19</f>
        <v>0</v>
      </c>
      <c r="Q20" s="10">
        <f>'PowerHouse Data'!$U$16</f>
        <v>0</v>
      </c>
      <c r="R20" s="10">
        <v>5824</v>
      </c>
      <c r="S20" s="10">
        <f>Table113456[[#This Row],[DG Milling NEXT SERVICE ]]-Table113456[[#This Row],[DG Milling Run Hr Meter]]</f>
        <v>5824</v>
      </c>
      <c r="T20" s="10">
        <v>12643.5</v>
      </c>
      <c r="U20" s="10">
        <f>Table113456[[#This Row],[DG Parboil NEXT SERVICE]]-Table113456[[#This Row],[DG Parboiling 
Run Hr Meter]]</f>
        <v>12643.5</v>
      </c>
      <c r="V20" s="27">
        <v>31150</v>
      </c>
      <c r="W20" s="27">
        <f>Table113456[[#This Row],[DG Utility NEXT SERVICE]]-Table113456[[#This Row],[DG Utility Run Hr Meter]]</f>
        <v>31150</v>
      </c>
      <c r="X20" s="27">
        <v>3540</v>
      </c>
      <c r="Y20" s="27">
        <f>Table113456[[#This Row],[DG Admin NEXT SERVICE]]-Table113456[[#This Row],[DG Admin Run Hr Meter]]</f>
        <v>3540</v>
      </c>
      <c r="Z20" s="27">
        <f>'PowerHouse Data'!$U$4</f>
        <v>0</v>
      </c>
      <c r="AA20" s="10"/>
      <c r="AB20" s="44">
        <v>17</v>
      </c>
      <c r="AC20" s="26">
        <v>37.5</v>
      </c>
      <c r="AD20" s="30">
        <f>'PowerHouse Data'!$U$5</f>
        <v>0</v>
      </c>
    </row>
    <row r="21" spans="1:30" s="38" customFormat="1" ht="18" customHeight="1" x14ac:dyDescent="0.35">
      <c r="A21" s="33">
        <f>'PowerHouse Data'!$U$1</f>
        <v>46283</v>
      </c>
      <c r="B21" s="34">
        <v>0.29166666666666669</v>
      </c>
      <c r="C21" s="35">
        <f t="shared" si="2"/>
        <v>0</v>
      </c>
      <c r="D21" s="35">
        <f>'PowerHouse Data'!$V$2</f>
        <v>0</v>
      </c>
      <c r="E21" s="35">
        <f t="shared" si="0"/>
        <v>0</v>
      </c>
      <c r="F21" s="35">
        <f>'PowerHouse Data'!$V$3</f>
        <v>0</v>
      </c>
      <c r="G21" s="35">
        <f>Table113456[[#This Row],[Main Tank
Opening Stock (Liters)]]-Table113456[[#This Row],[Main Tank
Closing Stock (Liters)]]+Table113456[[#This Row],[Received (Liters)]]</f>
        <v>0</v>
      </c>
      <c r="H21" s="35">
        <f t="shared" si="1"/>
        <v>0</v>
      </c>
      <c r="I21" s="35">
        <f>Table113456[[#This Row],[Main Tank
Closing Stock (Liters)]]+AD21</f>
        <v>0</v>
      </c>
      <c r="J21" s="35">
        <f>Table113456[[#This Row],[DG Milling Run Hr Meter]]-K20</f>
        <v>0</v>
      </c>
      <c r="K21" s="35">
        <f>'PowerHouse Data'!$V$13</f>
        <v>0</v>
      </c>
      <c r="L21" s="35">
        <f>Table113456[[#This Row],[DG Parboiling 
Run Hr Meter]]-M20</f>
        <v>0</v>
      </c>
      <c r="M21" s="35">
        <f>'PowerHouse Data'!$V$14</f>
        <v>0</v>
      </c>
      <c r="N21" s="35">
        <f>Table113456[[#This Row],[DG Utility Run Hr Meter]]-O20</f>
        <v>0</v>
      </c>
      <c r="O21" s="35">
        <f>'PowerHouse Data'!$V$15</f>
        <v>0</v>
      </c>
      <c r="P21" s="35">
        <f>Table113456[[#This Row],[DG Admin Run Hr Meter]]-Q20</f>
        <v>0</v>
      </c>
      <c r="Q21" s="35">
        <f>'PowerHouse Data'!$V$16</f>
        <v>0</v>
      </c>
      <c r="R21" s="39">
        <v>5824</v>
      </c>
      <c r="S21" s="35">
        <f>Table113456[[#This Row],[DG Milling NEXT SERVICE ]]-Table113456[[#This Row],[DG Milling Run Hr Meter]]</f>
        <v>5824</v>
      </c>
      <c r="T21" s="39">
        <v>12643.5</v>
      </c>
      <c r="U21" s="39">
        <f>Table113456[[#This Row],[DG Parboil NEXT SERVICE]]-Table113456[[#This Row],[DG Parboiling 
Run Hr Meter]]</f>
        <v>12643.5</v>
      </c>
      <c r="V21" s="27">
        <v>31150</v>
      </c>
      <c r="W21" s="46">
        <f>Table113456[[#This Row],[DG Utility NEXT SERVICE]]-Table113456[[#This Row],[DG Utility Run Hr Meter]]</f>
        <v>31150</v>
      </c>
      <c r="X21" s="27">
        <v>3540</v>
      </c>
      <c r="Y21" s="46">
        <f>Table113456[[#This Row],[DG Admin NEXT SERVICE]]-Table113456[[#This Row],[DG Admin Run Hr Meter]]</f>
        <v>3540</v>
      </c>
      <c r="Z21" s="36">
        <f>'PowerHouse Data'!$V$4</f>
        <v>0</v>
      </c>
      <c r="AA21" s="35"/>
      <c r="AB21" s="26">
        <v>18</v>
      </c>
      <c r="AC21" s="26">
        <v>41</v>
      </c>
      <c r="AD21" s="37">
        <f>'PowerHouse Data'!$V$5</f>
        <v>0</v>
      </c>
    </row>
    <row r="22" spans="1:30" ht="18" customHeight="1" x14ac:dyDescent="0.35">
      <c r="A22" s="13">
        <f>'PowerHouse Data'!$V$1</f>
        <v>46284</v>
      </c>
      <c r="B22" s="14">
        <v>0.29166666666666669</v>
      </c>
      <c r="C22" s="10">
        <f t="shared" si="2"/>
        <v>0</v>
      </c>
      <c r="D22" s="10">
        <f>'PowerHouse Data'!$W$2</f>
        <v>0</v>
      </c>
      <c r="E22" s="10">
        <f t="shared" si="0"/>
        <v>0</v>
      </c>
      <c r="F22" s="10">
        <f>'PowerHouse Data'!$W$3</f>
        <v>0</v>
      </c>
      <c r="G22" s="10">
        <f>Table113456[[#This Row],[Main Tank
Opening Stock (Liters)]]-Table113456[[#This Row],[Main Tank
Closing Stock (Liters)]]+Table113456[[#This Row],[Received (Liters)]]</f>
        <v>0</v>
      </c>
      <c r="H22" s="10">
        <f t="shared" si="1"/>
        <v>0</v>
      </c>
      <c r="I22" s="10">
        <f>Table113456[[#This Row],[Main Tank
Closing Stock (Liters)]]+AD22</f>
        <v>0</v>
      </c>
      <c r="J22" s="10">
        <f>Table113456[[#This Row],[DG Milling Run Hr Meter]]-K21</f>
        <v>0</v>
      </c>
      <c r="K22" s="10">
        <f>'PowerHouse Data'!$W$13</f>
        <v>0</v>
      </c>
      <c r="L22" s="10">
        <f>Table113456[[#This Row],[DG Parboiling 
Run Hr Meter]]-M21</f>
        <v>0</v>
      </c>
      <c r="M22" s="10">
        <f>'PowerHouse Data'!$W$14</f>
        <v>0</v>
      </c>
      <c r="N22" s="10">
        <f>Table113456[[#This Row],[DG Utility Run Hr Meter]]-O21</f>
        <v>0</v>
      </c>
      <c r="O22" s="10">
        <f>'PowerHouse Data'!$W$15</f>
        <v>0</v>
      </c>
      <c r="P22" s="10">
        <f>Table113456[[#This Row],[DG Admin Run Hr Meter]]-Q21</f>
        <v>0</v>
      </c>
      <c r="Q22" s="10">
        <f>'PowerHouse Data'!$W$16</f>
        <v>0</v>
      </c>
      <c r="R22" s="10">
        <v>5824</v>
      </c>
      <c r="S22" s="10">
        <f>Table113456[[#This Row],[DG Milling NEXT SERVICE ]]-Table113456[[#This Row],[DG Milling Run Hr Meter]]</f>
        <v>5824</v>
      </c>
      <c r="T22" s="10">
        <v>12643.5</v>
      </c>
      <c r="U22" s="10">
        <f>Table113456[[#This Row],[DG Parboil NEXT SERVICE]]-Table113456[[#This Row],[DG Parboiling 
Run Hr Meter]]</f>
        <v>12643.5</v>
      </c>
      <c r="V22" s="27">
        <v>31150</v>
      </c>
      <c r="W22" s="27">
        <f>Table113456[[#This Row],[DG Utility NEXT SERVICE]]-Table113456[[#This Row],[DG Utility Run Hr Meter]]</f>
        <v>31150</v>
      </c>
      <c r="X22" s="27">
        <v>3540</v>
      </c>
      <c r="Y22" s="27">
        <f>Table113456[[#This Row],[DG Admin NEXT SERVICE]]-Table113456[[#This Row],[DG Admin Run Hr Meter]]</f>
        <v>3540</v>
      </c>
      <c r="Z22" s="27">
        <f>'PowerHouse Data'!$W$4</f>
        <v>0</v>
      </c>
      <c r="AA22" s="10"/>
      <c r="AB22" s="44">
        <v>19</v>
      </c>
      <c r="AC22" s="26">
        <v>44.5</v>
      </c>
      <c r="AD22" s="30">
        <f>'PowerHouse Data'!$W$5</f>
        <v>0</v>
      </c>
    </row>
    <row r="23" spans="1:30" s="38" customFormat="1" ht="18" customHeight="1" x14ac:dyDescent="0.35">
      <c r="A23" s="33">
        <f>'PowerHouse Data'!$W$1</f>
        <v>46285</v>
      </c>
      <c r="B23" s="34">
        <v>0.29166666666666669</v>
      </c>
      <c r="C23" s="35">
        <f t="shared" si="2"/>
        <v>0</v>
      </c>
      <c r="D23" s="35">
        <f>'PowerHouse Data'!$X$2</f>
        <v>0</v>
      </c>
      <c r="E23" s="35">
        <f t="shared" si="0"/>
        <v>0</v>
      </c>
      <c r="F23" s="35">
        <f>'PowerHouse Data'!$X$3</f>
        <v>0</v>
      </c>
      <c r="G23" s="35">
        <f>Table113456[[#This Row],[Main Tank
Opening Stock (Liters)]]-Table113456[[#This Row],[Main Tank
Closing Stock (Liters)]]+Table113456[[#This Row],[Received (Liters)]]</f>
        <v>0</v>
      </c>
      <c r="H23" s="35">
        <f t="shared" si="1"/>
        <v>0</v>
      </c>
      <c r="I23" s="35">
        <f>Table113456[[#This Row],[Main Tank
Closing Stock (Liters)]]+AD23</f>
        <v>0</v>
      </c>
      <c r="J23" s="35">
        <f>Table113456[[#This Row],[DG Milling Run Hr Meter]]-K22</f>
        <v>0</v>
      </c>
      <c r="K23" s="35">
        <f>'PowerHouse Data'!$X$13</f>
        <v>0</v>
      </c>
      <c r="L23" s="35">
        <f>Table113456[[#This Row],[DG Parboiling 
Run Hr Meter]]-M22</f>
        <v>0</v>
      </c>
      <c r="M23" s="35">
        <f>'PowerHouse Data'!$X$14</f>
        <v>0</v>
      </c>
      <c r="N23" s="35">
        <f>Table113456[[#This Row],[DG Utility Run Hr Meter]]-O22</f>
        <v>0</v>
      </c>
      <c r="O23" s="35">
        <f>'PowerHouse Data'!$X$15</f>
        <v>0</v>
      </c>
      <c r="P23" s="35">
        <f>Table113456[[#This Row],[DG Admin Run Hr Meter]]-Q22</f>
        <v>0</v>
      </c>
      <c r="Q23" s="35">
        <f>'PowerHouse Data'!$X$16</f>
        <v>0</v>
      </c>
      <c r="R23" s="39">
        <v>5824</v>
      </c>
      <c r="S23" s="35">
        <f>Table113456[[#This Row],[DG Milling NEXT SERVICE ]]-Table113456[[#This Row],[DG Milling Run Hr Meter]]</f>
        <v>5824</v>
      </c>
      <c r="T23" s="39">
        <v>12643.5</v>
      </c>
      <c r="U23" s="39">
        <f>Table113456[[#This Row],[DG Parboil NEXT SERVICE]]-Table113456[[#This Row],[DG Parboiling 
Run Hr Meter]]</f>
        <v>12643.5</v>
      </c>
      <c r="V23" s="27">
        <v>31150</v>
      </c>
      <c r="W23" s="46">
        <f>Table113456[[#This Row],[DG Utility NEXT SERVICE]]-Table113456[[#This Row],[DG Utility Run Hr Meter]]</f>
        <v>31150</v>
      </c>
      <c r="X23" s="27">
        <v>3540</v>
      </c>
      <c r="Y23" s="46">
        <f>Table113456[[#This Row],[DG Admin NEXT SERVICE]]-Table113456[[#This Row],[DG Admin Run Hr Meter]]</f>
        <v>3540</v>
      </c>
      <c r="Z23" s="36">
        <f>'PowerHouse Data'!$X$4</f>
        <v>0</v>
      </c>
      <c r="AA23" s="35"/>
      <c r="AB23" s="26">
        <v>20</v>
      </c>
      <c r="AC23" s="26">
        <v>48</v>
      </c>
      <c r="AD23" s="37">
        <f>'PowerHouse Data'!$X$5</f>
        <v>0</v>
      </c>
    </row>
    <row r="24" spans="1:30" ht="18" customHeight="1" x14ac:dyDescent="0.35">
      <c r="A24" s="13">
        <f>'PowerHouse Data'!$X$1</f>
        <v>46286</v>
      </c>
      <c r="B24" s="14">
        <v>0.29166666666666669</v>
      </c>
      <c r="C24" s="10">
        <f t="shared" si="2"/>
        <v>0</v>
      </c>
      <c r="D24" s="10">
        <f>'PowerHouse Data'!$Y$2</f>
        <v>0</v>
      </c>
      <c r="E24" s="10">
        <f t="shared" si="0"/>
        <v>0</v>
      </c>
      <c r="F24" s="10">
        <f>'PowerHouse Data'!$Y$3</f>
        <v>0</v>
      </c>
      <c r="G24" s="10">
        <f>Table113456[[#This Row],[Main Tank
Opening Stock (Liters)]]-Table113456[[#This Row],[Main Tank
Closing Stock (Liters)]]+Table113456[[#This Row],[Received (Liters)]]</f>
        <v>0</v>
      </c>
      <c r="H24" s="10">
        <f t="shared" si="1"/>
        <v>0</v>
      </c>
      <c r="I24" s="10">
        <f>Table113456[[#This Row],[Main Tank
Closing Stock (Liters)]]+AD24</f>
        <v>0</v>
      </c>
      <c r="J24" s="10">
        <f>Table113456[[#This Row],[DG Milling Run Hr Meter]]-K23</f>
        <v>0</v>
      </c>
      <c r="K24" s="10">
        <f>'PowerHouse Data'!$Y$13</f>
        <v>0</v>
      </c>
      <c r="L24" s="10">
        <f>Table113456[[#This Row],[DG Parboiling 
Run Hr Meter]]-M23</f>
        <v>0</v>
      </c>
      <c r="M24" s="10">
        <f>'PowerHouse Data'!$Y$14</f>
        <v>0</v>
      </c>
      <c r="N24" s="10">
        <f>Table113456[[#This Row],[DG Utility Run Hr Meter]]-O23</f>
        <v>0</v>
      </c>
      <c r="O24" s="10">
        <f>'PowerHouse Data'!$Y$15</f>
        <v>0</v>
      </c>
      <c r="P24" s="10">
        <f>Table113456[[#This Row],[DG Admin Run Hr Meter]]-Q23</f>
        <v>0</v>
      </c>
      <c r="Q24" s="10">
        <f>'PowerHouse Data'!$Y$16</f>
        <v>0</v>
      </c>
      <c r="R24" s="10">
        <v>5824</v>
      </c>
      <c r="S24" s="10">
        <f>Table113456[[#This Row],[DG Milling NEXT SERVICE ]]-Table113456[[#This Row],[DG Milling Run Hr Meter]]</f>
        <v>5824</v>
      </c>
      <c r="T24" s="10">
        <v>12643.5</v>
      </c>
      <c r="U24" s="10">
        <f>Table113456[[#This Row],[DG Parboil NEXT SERVICE]]-Table113456[[#This Row],[DG Parboiling 
Run Hr Meter]]</f>
        <v>12643.5</v>
      </c>
      <c r="V24" s="27">
        <v>31150</v>
      </c>
      <c r="W24" s="27">
        <f>Table113456[[#This Row],[DG Utility NEXT SERVICE]]-Table113456[[#This Row],[DG Utility Run Hr Meter]]</f>
        <v>31150</v>
      </c>
      <c r="X24" s="27">
        <v>3540</v>
      </c>
      <c r="Y24" s="27">
        <f>Table113456[[#This Row],[DG Admin NEXT SERVICE]]-Table113456[[#This Row],[DG Admin Run Hr Meter]]</f>
        <v>3540</v>
      </c>
      <c r="Z24" s="27">
        <f>'PowerHouse Data'!$Y$4</f>
        <v>0</v>
      </c>
      <c r="AA24" s="10"/>
      <c r="AB24" s="26">
        <v>21</v>
      </c>
      <c r="AC24" s="26">
        <v>51.75</v>
      </c>
      <c r="AD24" s="30">
        <f>'PowerHouse Data'!$Y$5</f>
        <v>0</v>
      </c>
    </row>
    <row r="25" spans="1:30" s="38" customFormat="1" ht="18" customHeight="1" x14ac:dyDescent="0.35">
      <c r="A25" s="33">
        <f>'PowerHouse Data'!$Y$1</f>
        <v>46287</v>
      </c>
      <c r="B25" s="34">
        <v>0.29166666666666669</v>
      </c>
      <c r="C25" s="35">
        <f t="shared" si="2"/>
        <v>0</v>
      </c>
      <c r="D25" s="35">
        <f>'PowerHouse Data'!$Z$2</f>
        <v>0</v>
      </c>
      <c r="E25" s="35">
        <f t="shared" si="0"/>
        <v>0</v>
      </c>
      <c r="F25" s="35">
        <f>'PowerHouse Data'!$Z$3</f>
        <v>0</v>
      </c>
      <c r="G25" s="35">
        <f>Table113456[[#This Row],[Main Tank
Opening Stock (Liters)]]-Table113456[[#This Row],[Main Tank
Closing Stock (Liters)]]+Table113456[[#This Row],[Received (Liters)]]</f>
        <v>0</v>
      </c>
      <c r="H25" s="35">
        <f t="shared" si="1"/>
        <v>0</v>
      </c>
      <c r="I25" s="35">
        <f>Table113456[[#This Row],[Main Tank
Closing Stock (Liters)]]+AD25</f>
        <v>0</v>
      </c>
      <c r="J25" s="35">
        <f>Table113456[[#This Row],[DG Milling Run Hr Meter]]-K24</f>
        <v>0</v>
      </c>
      <c r="K25" s="35">
        <f>'PowerHouse Data'!$Z$13</f>
        <v>0</v>
      </c>
      <c r="L25" s="35">
        <f>Table113456[[#This Row],[DG Parboiling 
Run Hr Meter]]-M24</f>
        <v>0</v>
      </c>
      <c r="M25" s="35">
        <f>'PowerHouse Data'!$Z$14</f>
        <v>0</v>
      </c>
      <c r="N25" s="35">
        <f>Table113456[[#This Row],[DG Utility Run Hr Meter]]-O24</f>
        <v>0</v>
      </c>
      <c r="O25" s="35">
        <f>'PowerHouse Data'!$Z$15</f>
        <v>0</v>
      </c>
      <c r="P25" s="35">
        <f>Table113456[[#This Row],[DG Admin Run Hr Meter]]-Q24</f>
        <v>0</v>
      </c>
      <c r="Q25" s="35">
        <f>'PowerHouse Data'!$Z$16</f>
        <v>0</v>
      </c>
      <c r="R25" s="39">
        <v>5824</v>
      </c>
      <c r="S25" s="35">
        <f>Table113456[[#This Row],[DG Milling NEXT SERVICE ]]-Table113456[[#This Row],[DG Milling Run Hr Meter]]</f>
        <v>5824</v>
      </c>
      <c r="T25" s="39">
        <v>12643.5</v>
      </c>
      <c r="U25" s="39">
        <f>Table113456[[#This Row],[DG Parboil NEXT SERVICE]]-Table113456[[#This Row],[DG Parboiling 
Run Hr Meter]]</f>
        <v>12643.5</v>
      </c>
      <c r="V25" s="27">
        <v>31150</v>
      </c>
      <c r="W25" s="46">
        <f>Table113456[[#This Row],[DG Utility NEXT SERVICE]]-Table113456[[#This Row],[DG Utility Run Hr Meter]]</f>
        <v>31150</v>
      </c>
      <c r="X25" s="27">
        <v>3540</v>
      </c>
      <c r="Y25" s="46">
        <f>Table113456[[#This Row],[DG Admin NEXT SERVICE]]-Table113456[[#This Row],[DG Admin Run Hr Meter]]</f>
        <v>3540</v>
      </c>
      <c r="Z25" s="36">
        <f>'PowerHouse Data'!$Z$4</f>
        <v>0</v>
      </c>
      <c r="AA25" s="35"/>
      <c r="AB25" s="44">
        <v>22</v>
      </c>
      <c r="AC25" s="26">
        <v>55.5</v>
      </c>
      <c r="AD25" s="37">
        <f>'PowerHouse Data'!$Z$5</f>
        <v>0</v>
      </c>
    </row>
    <row r="26" spans="1:30" ht="18" customHeight="1" x14ac:dyDescent="0.35">
      <c r="A26" s="13">
        <f>'PowerHouse Data'!$Z$1</f>
        <v>46288</v>
      </c>
      <c r="B26" s="14">
        <v>0.29166666666666669</v>
      </c>
      <c r="C26" s="10">
        <f>D25</f>
        <v>0</v>
      </c>
      <c r="D26" s="10">
        <f>'PowerHouse Data'!$AA$2</f>
        <v>0</v>
      </c>
      <c r="E26" s="10">
        <f t="shared" si="0"/>
        <v>0</v>
      </c>
      <c r="F26" s="10">
        <f>'PowerHouse Data'!$AA$3</f>
        <v>0</v>
      </c>
      <c r="G26" s="10">
        <f>Table113456[[#This Row],[Main Tank
Opening Stock (Liters)]]-Table113456[[#This Row],[Main Tank
Closing Stock (Liters)]]+Table113456[[#This Row],[Received (Liters)]]</f>
        <v>0</v>
      </c>
      <c r="H26" s="10">
        <f t="shared" si="1"/>
        <v>0</v>
      </c>
      <c r="I26" s="10">
        <f>Table113456[[#This Row],[Main Tank
Closing Stock (Liters)]]+AD26</f>
        <v>0</v>
      </c>
      <c r="J26" s="10">
        <f>Table113456[[#This Row],[DG Milling Run Hr Meter]]-K25</f>
        <v>0</v>
      </c>
      <c r="K26" s="10">
        <f>'PowerHouse Data'!$AA$13</f>
        <v>0</v>
      </c>
      <c r="L26" s="10">
        <f>Table113456[[#This Row],[DG Parboiling 
Run Hr Meter]]-M25</f>
        <v>0</v>
      </c>
      <c r="M26" s="10">
        <f>'PowerHouse Data'!$AA$14</f>
        <v>0</v>
      </c>
      <c r="N26" s="10">
        <f>Table113456[[#This Row],[DG Utility Run Hr Meter]]-O25</f>
        <v>0</v>
      </c>
      <c r="O26" s="10">
        <f>'PowerHouse Data'!$AA$15</f>
        <v>0</v>
      </c>
      <c r="P26" s="10">
        <f>Table113456[[#This Row],[DG Admin Run Hr Meter]]-Q25</f>
        <v>0</v>
      </c>
      <c r="Q26" s="10">
        <f>'PowerHouse Data'!$AA$16</f>
        <v>0</v>
      </c>
      <c r="R26" s="10">
        <v>5824</v>
      </c>
      <c r="S26" s="10">
        <f>Table113456[[#This Row],[DG Milling NEXT SERVICE ]]-Table113456[[#This Row],[DG Milling Run Hr Meter]]</f>
        <v>5824</v>
      </c>
      <c r="T26" s="10">
        <v>12643.5</v>
      </c>
      <c r="U26" s="10">
        <f>Table113456[[#This Row],[DG Parboil NEXT SERVICE]]-Table113456[[#This Row],[DG Parboiling 
Run Hr Meter]]</f>
        <v>12643.5</v>
      </c>
      <c r="V26" s="27">
        <v>31150</v>
      </c>
      <c r="W26" s="27">
        <f>Table113456[[#This Row],[DG Utility NEXT SERVICE]]-Table113456[[#This Row],[DG Utility Run Hr Meter]]</f>
        <v>31150</v>
      </c>
      <c r="X26" s="27">
        <v>3540</v>
      </c>
      <c r="Y26" s="27">
        <f>Table113456[[#This Row],[DG Admin NEXT SERVICE]]-Table113456[[#This Row],[DG Admin Run Hr Meter]]</f>
        <v>3540</v>
      </c>
      <c r="Z26" s="27">
        <f>'PowerHouse Data'!$AA$4</f>
        <v>0</v>
      </c>
      <c r="AA26" s="10"/>
      <c r="AB26" s="26">
        <v>23</v>
      </c>
      <c r="AC26" s="26">
        <v>59.25</v>
      </c>
      <c r="AD26" s="30">
        <f>'PowerHouse Data'!$AA$5</f>
        <v>0</v>
      </c>
    </row>
    <row r="27" spans="1:30" s="38" customFormat="1" ht="18" customHeight="1" x14ac:dyDescent="0.35">
      <c r="A27" s="33">
        <f>'PowerHouse Data'!$AA$1</f>
        <v>46289</v>
      </c>
      <c r="B27" s="34">
        <v>0.29166666666666669</v>
      </c>
      <c r="C27" s="35">
        <f t="shared" si="2"/>
        <v>0</v>
      </c>
      <c r="D27" s="35">
        <f>'PowerHouse Data'!$AB$2</f>
        <v>0</v>
      </c>
      <c r="E27" s="35">
        <f t="shared" si="0"/>
        <v>0</v>
      </c>
      <c r="F27" s="35">
        <f>'PowerHouse Data'!$AB$3</f>
        <v>0</v>
      </c>
      <c r="G27" s="35">
        <f>Table113456[[#This Row],[Main Tank
Opening Stock (Liters)]]-Table113456[[#This Row],[Main Tank
Closing Stock (Liters)]]+Table113456[[#This Row],[Received (Liters)]]</f>
        <v>0</v>
      </c>
      <c r="H27" s="35">
        <f t="shared" si="1"/>
        <v>0</v>
      </c>
      <c r="I27" s="35">
        <f>Table113456[[#This Row],[Main Tank
Closing Stock (Liters)]]+AD27</f>
        <v>0</v>
      </c>
      <c r="J27" s="35">
        <f>Table113456[[#This Row],[DG Milling Run Hr Meter]]-K26</f>
        <v>0</v>
      </c>
      <c r="K27" s="35">
        <f>'PowerHouse Data'!$AB$13</f>
        <v>0</v>
      </c>
      <c r="L27" s="35">
        <f>Table113456[[#This Row],[DG Parboiling 
Run Hr Meter]]-M26</f>
        <v>0</v>
      </c>
      <c r="M27" s="35">
        <f>'PowerHouse Data'!$AB$14</f>
        <v>0</v>
      </c>
      <c r="N27" s="35">
        <f>Table113456[[#This Row],[DG Utility Run Hr Meter]]-O26</f>
        <v>0</v>
      </c>
      <c r="O27" s="35">
        <f>'PowerHouse Data'!$AB$15</f>
        <v>0</v>
      </c>
      <c r="P27" s="35">
        <f>Table113456[[#This Row],[DG Admin Run Hr Meter]]-Q26</f>
        <v>0</v>
      </c>
      <c r="Q27" s="35">
        <f>'PowerHouse Data'!$AB$16</f>
        <v>0</v>
      </c>
      <c r="R27" s="39">
        <v>5824</v>
      </c>
      <c r="S27" s="35">
        <f>Table113456[[#This Row],[DG Milling NEXT SERVICE ]]-Table113456[[#This Row],[DG Milling Run Hr Meter]]</f>
        <v>5824</v>
      </c>
      <c r="T27" s="39">
        <v>12643.5</v>
      </c>
      <c r="U27" s="39">
        <f>Table113456[[#This Row],[DG Parboil NEXT SERVICE]]-Table113456[[#This Row],[DG Parboiling 
Run Hr Meter]]</f>
        <v>12643.5</v>
      </c>
      <c r="V27" s="27">
        <v>31150</v>
      </c>
      <c r="W27" s="46">
        <f>Table113456[[#This Row],[DG Utility NEXT SERVICE]]-Table113456[[#This Row],[DG Utility Run Hr Meter]]</f>
        <v>31150</v>
      </c>
      <c r="X27" s="27">
        <v>3540</v>
      </c>
      <c r="Y27" s="46">
        <f>Table113456[[#This Row],[DG Admin NEXT SERVICE]]-Table113456[[#This Row],[DG Admin Run Hr Meter]]</f>
        <v>3540</v>
      </c>
      <c r="Z27" s="36">
        <f>'PowerHouse Data'!$AB$4</f>
        <v>0</v>
      </c>
      <c r="AA27" s="35"/>
      <c r="AB27" s="44">
        <v>24</v>
      </c>
      <c r="AC27" s="26">
        <v>63</v>
      </c>
      <c r="AD27" s="37">
        <f>'PowerHouse Data'!$AB$5</f>
        <v>0</v>
      </c>
    </row>
    <row r="28" spans="1:30" ht="18" customHeight="1" x14ac:dyDescent="0.35">
      <c r="A28" s="13">
        <f>'PowerHouse Data'!$AB$1</f>
        <v>46290</v>
      </c>
      <c r="B28" s="14">
        <v>0.29166666666666669</v>
      </c>
      <c r="C28" s="10">
        <f t="shared" si="2"/>
        <v>0</v>
      </c>
      <c r="D28" s="10">
        <f>'PowerHouse Data'!$AC$2</f>
        <v>0</v>
      </c>
      <c r="E28" s="10">
        <f t="shared" si="0"/>
        <v>0</v>
      </c>
      <c r="F28" s="10">
        <f>'PowerHouse Data'!$AC$3</f>
        <v>0</v>
      </c>
      <c r="G28" s="10">
        <f>Table113456[[#This Row],[Main Tank
Opening Stock (Liters)]]-Table113456[[#This Row],[Main Tank
Closing Stock (Liters)]]+Table113456[[#This Row],[Received (Liters)]]</f>
        <v>0</v>
      </c>
      <c r="H28" s="10">
        <f t="shared" si="1"/>
        <v>0</v>
      </c>
      <c r="I28" s="10">
        <f>Table113456[[#This Row],[Main Tank
Closing Stock (Liters)]]+AD28</f>
        <v>0</v>
      </c>
      <c r="J28" s="10">
        <f>Table113456[[#This Row],[DG Milling Run Hr Meter]]-K27</f>
        <v>0</v>
      </c>
      <c r="K28" s="10">
        <f>'PowerHouse Data'!$AC$13</f>
        <v>0</v>
      </c>
      <c r="L28" s="10">
        <f>Table113456[[#This Row],[DG Parboiling 
Run Hr Meter]]-M27</f>
        <v>0</v>
      </c>
      <c r="M28" s="10">
        <f>'PowerHouse Data'!$AC$14</f>
        <v>0</v>
      </c>
      <c r="N28" s="10">
        <f>Table113456[[#This Row],[DG Utility Run Hr Meter]]-O27</f>
        <v>0</v>
      </c>
      <c r="O28" s="10">
        <f>'PowerHouse Data'!$AC$15</f>
        <v>0</v>
      </c>
      <c r="P28" s="10">
        <f>Table113456[[#This Row],[DG Admin Run Hr Meter]]-Q27</f>
        <v>0</v>
      </c>
      <c r="Q28" s="10">
        <f>'PowerHouse Data'!$AC$16</f>
        <v>0</v>
      </c>
      <c r="R28" s="10">
        <v>5824</v>
      </c>
      <c r="S28" s="10">
        <f>Table113456[[#This Row],[DG Milling NEXT SERVICE ]]-Table113456[[#This Row],[DG Milling Run Hr Meter]]</f>
        <v>5824</v>
      </c>
      <c r="T28" s="10">
        <v>12643.5</v>
      </c>
      <c r="U28" s="10">
        <f>Table113456[[#This Row],[DG Parboil NEXT SERVICE]]-Table113456[[#This Row],[DG Parboiling 
Run Hr Meter]]</f>
        <v>12643.5</v>
      </c>
      <c r="V28" s="27">
        <v>31150</v>
      </c>
      <c r="W28" s="27">
        <f>Table113456[[#This Row],[DG Utility NEXT SERVICE]]-Table113456[[#This Row],[DG Utility Run Hr Meter]]</f>
        <v>31150</v>
      </c>
      <c r="X28" s="27">
        <v>3540</v>
      </c>
      <c r="Y28" s="27">
        <f>Table113456[[#This Row],[DG Admin NEXT SERVICE]]-Table113456[[#This Row],[DG Admin Run Hr Meter]]</f>
        <v>3540</v>
      </c>
      <c r="Z28" s="27">
        <f>'PowerHouse Data'!$AC$4</f>
        <v>0</v>
      </c>
      <c r="AA28" s="10"/>
      <c r="AB28" s="26">
        <v>25</v>
      </c>
      <c r="AC28" s="26">
        <v>67.25</v>
      </c>
      <c r="AD28" s="30">
        <f>'PowerHouse Data'!$AC$5</f>
        <v>0</v>
      </c>
    </row>
    <row r="29" spans="1:30" s="38" customFormat="1" ht="18" customHeight="1" x14ac:dyDescent="0.35">
      <c r="A29" s="33">
        <f>'PowerHouse Data'!$AC$1</f>
        <v>46291</v>
      </c>
      <c r="B29" s="34">
        <v>0.29166666666666669</v>
      </c>
      <c r="C29" s="35">
        <f t="shared" si="2"/>
        <v>0</v>
      </c>
      <c r="D29" s="35">
        <f>'PowerHouse Data'!$AD$2</f>
        <v>0</v>
      </c>
      <c r="E29" s="35">
        <f t="shared" si="0"/>
        <v>0</v>
      </c>
      <c r="F29" s="35">
        <f>'PowerHouse Data'!$AD$3</f>
        <v>0</v>
      </c>
      <c r="G29" s="35">
        <f>Table113456[[#This Row],[Main Tank
Opening Stock (Liters)]]-Table113456[[#This Row],[Main Tank
Closing Stock (Liters)]]+Table113456[[#This Row],[Received (Liters)]]</f>
        <v>0</v>
      </c>
      <c r="H29" s="35">
        <f t="shared" si="1"/>
        <v>0</v>
      </c>
      <c r="I29" s="35">
        <f>Table113456[[#This Row],[Main Tank
Closing Stock (Liters)]]+AD29</f>
        <v>0</v>
      </c>
      <c r="J29" s="35">
        <f>Table113456[[#This Row],[DG Milling Run Hr Meter]]-K28</f>
        <v>0</v>
      </c>
      <c r="K29" s="35">
        <f>'PowerHouse Data'!$AD$13</f>
        <v>0</v>
      </c>
      <c r="L29" s="35">
        <f>Table113456[[#This Row],[DG Parboiling 
Run Hr Meter]]-M28</f>
        <v>0</v>
      </c>
      <c r="M29" s="35">
        <f>'PowerHouse Data'!$AD$14</f>
        <v>0</v>
      </c>
      <c r="N29" s="35">
        <f>Table113456[[#This Row],[DG Utility Run Hr Meter]]-O28</f>
        <v>0</v>
      </c>
      <c r="O29" s="35">
        <f>'PowerHouse Data'!$AD$15</f>
        <v>0</v>
      </c>
      <c r="P29" s="35">
        <f>Table113456[[#This Row],[DG Admin Run Hr Meter]]-Q28</f>
        <v>0</v>
      </c>
      <c r="Q29" s="35">
        <f>'PowerHouse Data'!$AD$16</f>
        <v>0</v>
      </c>
      <c r="R29" s="39">
        <v>5824</v>
      </c>
      <c r="S29" s="35">
        <f>Table113456[[#This Row],[DG Milling NEXT SERVICE ]]-Table113456[[#This Row],[DG Milling Run Hr Meter]]</f>
        <v>5824</v>
      </c>
      <c r="T29" s="39">
        <v>12643.5</v>
      </c>
      <c r="U29" s="39">
        <f>Table113456[[#This Row],[DG Parboil NEXT SERVICE]]-Table113456[[#This Row],[DG Parboiling 
Run Hr Meter]]</f>
        <v>12643.5</v>
      </c>
      <c r="V29" s="27">
        <v>31150</v>
      </c>
      <c r="W29" s="46">
        <f>Table113456[[#This Row],[DG Utility NEXT SERVICE]]-Table113456[[#This Row],[DG Utility Run Hr Meter]]</f>
        <v>31150</v>
      </c>
      <c r="X29" s="27">
        <v>3540</v>
      </c>
      <c r="Y29" s="46">
        <f>Table113456[[#This Row],[DG Admin NEXT SERVICE]]-Table113456[[#This Row],[DG Admin Run Hr Meter]]</f>
        <v>3540</v>
      </c>
      <c r="Z29" s="36">
        <f>'PowerHouse Data'!$AD$4</f>
        <v>0</v>
      </c>
      <c r="AA29" s="35"/>
      <c r="AB29" s="44">
        <v>26</v>
      </c>
      <c r="AC29" s="26">
        <v>71.5</v>
      </c>
      <c r="AD29" s="37">
        <f>'PowerHouse Data'!$AD$5</f>
        <v>0</v>
      </c>
    </row>
    <row r="30" spans="1:30" ht="18" customHeight="1" x14ac:dyDescent="0.35">
      <c r="A30" s="13">
        <f>'PowerHouse Data'!$AD$1</f>
        <v>46292</v>
      </c>
      <c r="B30" s="14">
        <v>0.29166666666666669</v>
      </c>
      <c r="C30" s="10">
        <f t="shared" si="2"/>
        <v>0</v>
      </c>
      <c r="D30" s="10">
        <f>'PowerHouse Data'!$AE$2</f>
        <v>0</v>
      </c>
      <c r="E30" s="10">
        <f t="shared" si="0"/>
        <v>0</v>
      </c>
      <c r="F30" s="10">
        <f>'PowerHouse Data'!$AE$3</f>
        <v>0</v>
      </c>
      <c r="G30" s="10">
        <f>Table113456[[#This Row],[Main Tank
Opening Stock (Liters)]]-Table113456[[#This Row],[Main Tank
Closing Stock (Liters)]]+Table113456[[#This Row],[Received (Liters)]]</f>
        <v>0</v>
      </c>
      <c r="H30" s="10">
        <f t="shared" si="1"/>
        <v>0</v>
      </c>
      <c r="I30" s="10">
        <f>Table113456[[#This Row],[Main Tank
Closing Stock (Liters)]]+AD30</f>
        <v>0</v>
      </c>
      <c r="J30" s="10">
        <f>Table113456[[#This Row],[DG Milling Run Hr Meter]]-K29</f>
        <v>0</v>
      </c>
      <c r="K30" s="10">
        <f>'PowerHouse Data'!$AE$13</f>
        <v>0</v>
      </c>
      <c r="L30" s="10">
        <f>Table113456[[#This Row],[DG Parboiling 
Run Hr Meter]]-M29</f>
        <v>0</v>
      </c>
      <c r="M30" s="10">
        <f>'PowerHouse Data'!$AE$14</f>
        <v>0</v>
      </c>
      <c r="N30" s="10">
        <f>Table113456[[#This Row],[DG Utility Run Hr Meter]]-O29</f>
        <v>0</v>
      </c>
      <c r="O30" s="10">
        <f>'PowerHouse Data'!$AE$15</f>
        <v>0</v>
      </c>
      <c r="P30" s="10">
        <f>Table113456[[#This Row],[DG Admin Run Hr Meter]]-Q29</f>
        <v>0</v>
      </c>
      <c r="Q30" s="10">
        <f>'PowerHouse Data'!$AE$16</f>
        <v>0</v>
      </c>
      <c r="R30" s="10">
        <v>5824</v>
      </c>
      <c r="S30" s="10">
        <f>Table113456[[#This Row],[DG Milling NEXT SERVICE ]]-Table113456[[#This Row],[DG Milling Run Hr Meter]]</f>
        <v>5824</v>
      </c>
      <c r="T30" s="10">
        <v>12643.5</v>
      </c>
      <c r="U30" s="10">
        <f>Table113456[[#This Row],[DG Parboil NEXT SERVICE]]-Table113456[[#This Row],[DG Parboiling 
Run Hr Meter]]</f>
        <v>12643.5</v>
      </c>
      <c r="V30" s="27">
        <v>31150</v>
      </c>
      <c r="W30" s="27">
        <f>Table113456[[#This Row],[DG Utility NEXT SERVICE]]-Table113456[[#This Row],[DG Utility Run Hr Meter]]</f>
        <v>31150</v>
      </c>
      <c r="X30" s="27">
        <v>3540</v>
      </c>
      <c r="Y30" s="27">
        <f>Table113456[[#This Row],[DG Admin NEXT SERVICE]]-Table113456[[#This Row],[DG Admin Run Hr Meter]]</f>
        <v>3540</v>
      </c>
      <c r="Z30" s="27">
        <f>'PowerHouse Data'!$AE$4</f>
        <v>0</v>
      </c>
      <c r="AA30" s="10"/>
      <c r="AB30" s="26">
        <v>27</v>
      </c>
      <c r="AC30" s="26">
        <v>75.75</v>
      </c>
      <c r="AD30" s="30">
        <f>'PowerHouse Data'!$AE$5</f>
        <v>0</v>
      </c>
    </row>
    <row r="31" spans="1:30" s="38" customFormat="1" x14ac:dyDescent="0.35">
      <c r="A31" s="33">
        <f>'PowerHouse Data'!$AE$1</f>
        <v>46293</v>
      </c>
      <c r="B31" s="34">
        <v>0.29166666666666669</v>
      </c>
      <c r="C31" s="35">
        <f t="shared" si="2"/>
        <v>0</v>
      </c>
      <c r="D31" s="35">
        <f>'PowerHouse Data'!$AF$2</f>
        <v>0</v>
      </c>
      <c r="E31" s="35">
        <f t="shared" si="0"/>
        <v>0</v>
      </c>
      <c r="F31" s="35">
        <f>'PowerHouse Data'!$AF$3</f>
        <v>0</v>
      </c>
      <c r="G31" s="35">
        <f>Table113456[[#This Row],[Main Tank
Opening Stock (Liters)]]-Table113456[[#This Row],[Main Tank
Closing Stock (Liters)]]+Table113456[[#This Row],[Received (Liters)]]</f>
        <v>0</v>
      </c>
      <c r="H31" s="35">
        <f t="shared" si="1"/>
        <v>0</v>
      </c>
      <c r="I31" s="35">
        <f>Table113456[[#This Row],[Main Tank
Closing Stock (Liters)]]+AD31</f>
        <v>0</v>
      </c>
      <c r="J31" s="35">
        <f>Table113456[[#This Row],[DG Milling Run Hr Meter]]-K30</f>
        <v>0</v>
      </c>
      <c r="K31" s="35">
        <f>'PowerHouse Data'!$AF$13</f>
        <v>0</v>
      </c>
      <c r="L31" s="35">
        <f>Table113456[[#This Row],[DG Parboiling 
Run Hr Meter]]-M30</f>
        <v>0</v>
      </c>
      <c r="M31" s="35">
        <f>'PowerHouse Data'!$AF$14</f>
        <v>0</v>
      </c>
      <c r="N31" s="35">
        <f>Table113456[[#This Row],[DG Utility Run Hr Meter]]-O30</f>
        <v>0</v>
      </c>
      <c r="O31" s="35">
        <f>'PowerHouse Data'!$AF$15</f>
        <v>0</v>
      </c>
      <c r="P31" s="35">
        <f>Table113456[[#This Row],[DG Admin Run Hr Meter]]-Q30</f>
        <v>0</v>
      </c>
      <c r="Q31" s="35">
        <f>'PowerHouse Data'!$AF$16</f>
        <v>0</v>
      </c>
      <c r="R31" s="39">
        <v>5824</v>
      </c>
      <c r="S31" s="35">
        <f>Table113456[[#This Row],[DG Milling NEXT SERVICE ]]-Table113456[[#This Row],[DG Milling Run Hr Meter]]</f>
        <v>5824</v>
      </c>
      <c r="T31" s="39">
        <v>12643.5</v>
      </c>
      <c r="U31" s="39">
        <f>Table113456[[#This Row],[DG Parboil NEXT SERVICE]]-Table113456[[#This Row],[DG Parboiling 
Run Hr Meter]]</f>
        <v>12643.5</v>
      </c>
      <c r="V31" s="27">
        <v>31150</v>
      </c>
      <c r="W31" s="46">
        <f>Table113456[[#This Row],[DG Utility NEXT SERVICE]]-Table113456[[#This Row],[DG Utility Run Hr Meter]]</f>
        <v>31150</v>
      </c>
      <c r="X31" s="27">
        <v>3540</v>
      </c>
      <c r="Y31" s="46">
        <f>Table113456[[#This Row],[DG Admin NEXT SERVICE]]-Table113456[[#This Row],[DG Admin Run Hr Meter]]</f>
        <v>3540</v>
      </c>
      <c r="Z31" s="36">
        <f>'PowerHouse Data'!$AF$4</f>
        <v>0</v>
      </c>
      <c r="AA31" s="35"/>
      <c r="AB31" s="26">
        <v>28</v>
      </c>
      <c r="AC31" s="26">
        <v>80</v>
      </c>
      <c r="AD31" s="37">
        <f>'PowerHouse Data'!$AF$5</f>
        <v>0</v>
      </c>
    </row>
    <row r="32" spans="1:30" x14ac:dyDescent="0.35">
      <c r="A32" s="13">
        <f>'PowerHouse Data'!$AF$1</f>
        <v>46294</v>
      </c>
      <c r="B32" s="14">
        <v>0.29166666666666669</v>
      </c>
      <c r="C32" s="10">
        <f t="shared" si="2"/>
        <v>0</v>
      </c>
      <c r="D32" s="10">
        <f>'PowerHouse Data'!$AG$2</f>
        <v>0</v>
      </c>
      <c r="E32" s="10">
        <f t="shared" si="0"/>
        <v>0</v>
      </c>
      <c r="F32" s="10">
        <f>'PowerHouse Data'!$AG$3</f>
        <v>0</v>
      </c>
      <c r="G32" s="10">
        <f>Table113456[[#This Row],[Main Tank
Opening Stock (Liters)]]-Table113456[[#This Row],[Main Tank
Closing Stock (Liters)]]+Table113456[[#This Row],[Received (Liters)]]</f>
        <v>0</v>
      </c>
      <c r="H32" s="10">
        <f t="shared" si="1"/>
        <v>0</v>
      </c>
      <c r="I32" s="10">
        <f>Table113456[[#This Row],[Main Tank
Closing Stock (Liters)]]+AD32</f>
        <v>0</v>
      </c>
      <c r="J32" s="10">
        <f>Table113456[[#This Row],[DG Milling Run Hr Meter]]-K31</f>
        <v>0</v>
      </c>
      <c r="K32" s="10">
        <f>'PowerHouse Data'!$AG$13</f>
        <v>0</v>
      </c>
      <c r="L32" s="10">
        <f>Table113456[[#This Row],[DG Parboiling 
Run Hr Meter]]-M31</f>
        <v>0</v>
      </c>
      <c r="M32" s="10">
        <f>'PowerHouse Data'!$AG$14</f>
        <v>0</v>
      </c>
      <c r="N32" s="10">
        <f>Table113456[[#This Row],[DG Utility Run Hr Meter]]-O31</f>
        <v>0</v>
      </c>
      <c r="O32" s="10">
        <f>'PowerHouse Data'!$AG$15</f>
        <v>0</v>
      </c>
      <c r="P32" s="10">
        <f>Table113456[[#This Row],[DG Admin Run Hr Meter]]-Q31</f>
        <v>0</v>
      </c>
      <c r="Q32" s="10">
        <f>'PowerHouse Data'!$AG$16</f>
        <v>0</v>
      </c>
      <c r="R32" s="10">
        <v>5824</v>
      </c>
      <c r="S32" s="10">
        <f>Table113456[[#This Row],[DG Milling NEXT SERVICE ]]-Table113456[[#This Row],[DG Milling Run Hr Meter]]</f>
        <v>5824</v>
      </c>
      <c r="T32" s="10">
        <v>12643.5</v>
      </c>
      <c r="U32" s="10">
        <f>Table113456[[#This Row],[DG Parboil NEXT SERVICE]]-Table113456[[#This Row],[DG Parboiling 
Run Hr Meter]]</f>
        <v>12643.5</v>
      </c>
      <c r="V32" s="27">
        <v>31150</v>
      </c>
      <c r="W32" s="27">
        <f>Table113456[[#This Row],[DG Utility NEXT SERVICE]]-Table113456[[#This Row],[DG Utility Run Hr Meter]]</f>
        <v>31150</v>
      </c>
      <c r="X32" s="27">
        <v>3540</v>
      </c>
      <c r="Y32" s="27">
        <f>Table113456[[#This Row],[DG Admin NEXT SERVICE]]-Table113456[[#This Row],[DG Admin Run Hr Meter]]</f>
        <v>3540</v>
      </c>
      <c r="Z32" s="27">
        <f>'PowerHouse Data'!$AG$4</f>
        <v>0</v>
      </c>
      <c r="AA32" s="10"/>
      <c r="AB32" s="44">
        <v>29</v>
      </c>
      <c r="AC32" s="26">
        <v>84.5</v>
      </c>
      <c r="AD32" s="30">
        <f>'PowerHouse Data'!$AG$5</f>
        <v>0</v>
      </c>
    </row>
    <row r="33" spans="1:30" s="38" customFormat="1" x14ac:dyDescent="0.35">
      <c r="A33" s="33">
        <f>'PowerHouse Data'!$AG$1</f>
        <v>46295</v>
      </c>
      <c r="B33" s="34"/>
      <c r="C33" s="35">
        <f t="shared" ref="C33:C34" si="3">D32</f>
        <v>0</v>
      </c>
      <c r="D33" s="35">
        <f>'PowerHouse Data'!$AH$2</f>
        <v>0</v>
      </c>
      <c r="E33" s="35">
        <f t="shared" si="0"/>
        <v>0</v>
      </c>
      <c r="F33" s="35">
        <f>'PowerHouse Data'!$AH$3</f>
        <v>0</v>
      </c>
      <c r="G33" s="35">
        <f>Table113456[[#This Row],[Main Tank
Opening Stock (Liters)]]-Table113456[[#This Row],[Main Tank
Closing Stock (Liters)]]+Table113456[[#This Row],[Received (Liters)]]</f>
        <v>0</v>
      </c>
      <c r="H33" s="35">
        <f t="shared" si="1"/>
        <v>0</v>
      </c>
      <c r="I33" s="35">
        <f>Table113456[[#This Row],[Main Tank
Closing Stock (Liters)]]+AD33</f>
        <v>0</v>
      </c>
      <c r="J33" s="35">
        <f>Table113456[[#This Row],[DG Milling Run Hr Meter]]-K32</f>
        <v>0</v>
      </c>
      <c r="K33" s="35">
        <f>'PowerHouse Data'!$AH$13</f>
        <v>0</v>
      </c>
      <c r="L33" s="35">
        <f>Table113456[[#This Row],[DG Parboiling 
Run Hr Meter]]-M32</f>
        <v>0</v>
      </c>
      <c r="M33" s="35">
        <f>'PowerHouse Data'!$AH$14</f>
        <v>0</v>
      </c>
      <c r="N33" s="35">
        <f>Table113456[[#This Row],[DG Utility Run Hr Meter]]-O32</f>
        <v>0</v>
      </c>
      <c r="O33" s="35">
        <f>'PowerHouse Data'!$AH$15</f>
        <v>0</v>
      </c>
      <c r="P33" s="35">
        <f>Table113456[[#This Row],[DG Admin Run Hr Meter]]-Q32</f>
        <v>0</v>
      </c>
      <c r="Q33" s="35">
        <f>'PowerHouse Data'!$AH$16</f>
        <v>0</v>
      </c>
      <c r="R33" s="35">
        <v>5824</v>
      </c>
      <c r="S33" s="35">
        <f>Table113456[[#This Row],[DG Milling NEXT SERVICE ]]-Table113456[[#This Row],[DG Milling Run Hr Meter]]</f>
        <v>5824</v>
      </c>
      <c r="T33" s="35">
        <v>12643.5</v>
      </c>
      <c r="U33" s="35">
        <f>Table113456[[#This Row],[DG Parboil NEXT SERVICE]]-Table113456[[#This Row],[DG Parboiling 
Run Hr Meter]]</f>
        <v>12643.5</v>
      </c>
      <c r="V33" s="27">
        <v>31150</v>
      </c>
      <c r="W33" s="36">
        <f>Table113456[[#This Row],[DG Utility NEXT SERVICE]]-Table113456[[#This Row],[DG Utility Run Hr Meter]]</f>
        <v>31150</v>
      </c>
      <c r="X33" s="27">
        <v>3540</v>
      </c>
      <c r="Y33" s="36">
        <f>Table113456[[#This Row],[DG Admin NEXT SERVICE]]-Table113456[[#This Row],[DG Admin Run Hr Meter]]</f>
        <v>3540</v>
      </c>
      <c r="Z33" s="36">
        <f>'PowerHouse Data'!$AH$4</f>
        <v>0</v>
      </c>
      <c r="AA33" s="36"/>
      <c r="AB33" s="26">
        <v>30</v>
      </c>
      <c r="AC33" s="26">
        <v>89</v>
      </c>
      <c r="AD33" s="41">
        <f>'PowerHouse Data'!$AH$5</f>
        <v>0</v>
      </c>
    </row>
    <row r="34" spans="1:30" x14ac:dyDescent="0.35">
      <c r="A34" s="13">
        <f>'PowerHouse Data'!$AH$1</f>
        <v>46296</v>
      </c>
      <c r="B34" s="14"/>
      <c r="C34" s="10">
        <f t="shared" si="3"/>
        <v>0</v>
      </c>
      <c r="D34" s="10">
        <f>'PowerHouse Data'!$AI$2</f>
        <v>0</v>
      </c>
      <c r="E34" s="10">
        <f t="shared" si="0"/>
        <v>0</v>
      </c>
      <c r="F34" s="10">
        <f>'PowerHouse Data'!$AI$3</f>
        <v>0</v>
      </c>
      <c r="G34" s="10">
        <f>Table113456[[#This Row],[Main Tank
Opening Stock (Liters)]]-Table113456[[#This Row],[Main Tank
Closing Stock (Liters)]]+Table113456[[#This Row],[Received (Liters)]]</f>
        <v>0</v>
      </c>
      <c r="H34" s="10">
        <f t="shared" si="1"/>
        <v>0</v>
      </c>
      <c r="I34" s="10">
        <f>Table113456[[#This Row],[Main Tank
Closing Stock (Liters)]]+AD34</f>
        <v>0</v>
      </c>
      <c r="J34" s="10">
        <f>Table113456[[#This Row],[DG Milling Run Hr Meter]]-K33</f>
        <v>0</v>
      </c>
      <c r="K34" s="10">
        <f>'PowerHouse Data'!$AI$13</f>
        <v>0</v>
      </c>
      <c r="L34" s="10">
        <f>Table113456[[#This Row],[DG Parboiling 
Run Hr Meter]]-M33</f>
        <v>0</v>
      </c>
      <c r="M34" s="10">
        <f>'PowerHouse Data'!$AI$14</f>
        <v>0</v>
      </c>
      <c r="N34" s="10">
        <f>Table113456[[#This Row],[DG Utility Run Hr Meter]]-O33</f>
        <v>0</v>
      </c>
      <c r="O34" s="10">
        <f>'PowerHouse Data'!$AI$15</f>
        <v>0</v>
      </c>
      <c r="P34" s="10">
        <f>Table113456[[#This Row],[DG Admin Run Hr Meter]]-Q33</f>
        <v>0</v>
      </c>
      <c r="Q34" s="10">
        <f>'PowerHouse Data'!$AI$16</f>
        <v>0</v>
      </c>
      <c r="R34" s="10">
        <v>5824</v>
      </c>
      <c r="S34" s="10">
        <f>Table113456[[#This Row],[DG Milling NEXT SERVICE ]]-Table113456[[#This Row],[DG Milling Run Hr Meter]]</f>
        <v>5824</v>
      </c>
      <c r="T34" s="10">
        <v>12643.5</v>
      </c>
      <c r="U34" s="10">
        <f>Table113456[[#This Row],[DG Parboil NEXT SERVICE]]-Table113456[[#This Row],[DG Parboiling 
Run Hr Meter]]</f>
        <v>12643.5</v>
      </c>
      <c r="V34" s="27">
        <v>31150</v>
      </c>
      <c r="W34" s="27">
        <f>Table113456[[#This Row],[DG Utility NEXT SERVICE]]-Table113456[[#This Row],[DG Utility Run Hr Meter]]</f>
        <v>31150</v>
      </c>
      <c r="X34" s="27">
        <v>3540</v>
      </c>
      <c r="Y34" s="27">
        <f>Table113456[[#This Row],[DG Admin NEXT SERVICE]]-Table113456[[#This Row],[DG Admin Run Hr Meter]]</f>
        <v>3540</v>
      </c>
      <c r="Z34" s="27">
        <f>'PowerHouse Data'!$AI$4</f>
        <v>0</v>
      </c>
      <c r="AA34" s="10"/>
      <c r="AB34" s="44">
        <v>31</v>
      </c>
      <c r="AC34" s="26">
        <v>93.5</v>
      </c>
      <c r="AD34" s="30">
        <f>'PowerHouse Data'!$AI$5</f>
        <v>0</v>
      </c>
    </row>
    <row r="35" spans="1:30" s="38" customFormat="1" x14ac:dyDescent="0.35">
      <c r="A35" s="33">
        <f>'PowerHouse Data'!$AI$1</f>
        <v>0</v>
      </c>
      <c r="B35" s="42"/>
      <c r="C35" s="35">
        <f>D34</f>
        <v>0</v>
      </c>
      <c r="D35" s="35">
        <f>'PowerHouse Data'!$AJ$2</f>
        <v>0</v>
      </c>
      <c r="E35" s="35">
        <f t="shared" si="0"/>
        <v>0</v>
      </c>
      <c r="F35" s="35">
        <f>'PowerHouse Data'!$AJ$3</f>
        <v>0</v>
      </c>
      <c r="G35" s="35">
        <f>Table113456[[#This Row],[Main Tank
Opening Stock (Liters)]]-Table113456[[#This Row],[Main Tank
Closing Stock (Liters)]]+Table113456[[#This Row],[Received (Liters)]]</f>
        <v>0</v>
      </c>
      <c r="H35" s="35">
        <f>VLOOKUP(D35,$AB$2:$AC$682,2,FALSE)</f>
        <v>0</v>
      </c>
      <c r="I35" s="35">
        <f>Table113456[[#This Row],[Main Tank
Closing Stock (Liters)]]+AD35</f>
        <v>0</v>
      </c>
      <c r="J35" s="35">
        <f>Table113456[[#This Row],[DG Milling Run Hr Meter]]-K34</f>
        <v>0</v>
      </c>
      <c r="K35" s="35">
        <f>'PowerHouse Data'!$AJ$13</f>
        <v>0</v>
      </c>
      <c r="L35" s="35">
        <f>Table113456[[#This Row],[DG Parboiling 
Run Hr Meter]]-M34</f>
        <v>0</v>
      </c>
      <c r="M35" s="35">
        <f>'PowerHouse Data'!$AJ$14</f>
        <v>0</v>
      </c>
      <c r="N35" s="35">
        <f>Table113456[[#This Row],[DG Utility Run Hr Meter]]-O34</f>
        <v>0</v>
      </c>
      <c r="O35" s="35">
        <f>'PowerHouse Data'!$AJ$15</f>
        <v>0</v>
      </c>
      <c r="P35" s="35">
        <f>Table113456[[#This Row],[DG Admin Run Hr Meter]]-Q34</f>
        <v>0</v>
      </c>
      <c r="Q35" s="35">
        <f>'PowerHouse Data'!$AJ$16</f>
        <v>0</v>
      </c>
      <c r="R35" s="35">
        <v>5824</v>
      </c>
      <c r="S35" s="35">
        <f>Table113456[[#This Row],[DG Milling NEXT SERVICE ]]-Table113456[[#This Row],[DG Milling Run Hr Meter]]</f>
        <v>5824</v>
      </c>
      <c r="T35" s="35">
        <v>12643.5</v>
      </c>
      <c r="U35" s="35">
        <f>Table113456[[#This Row],[DG Parboil NEXT SERVICE]]-Table113456[[#This Row],[DG Parboiling 
Run Hr Meter]]</f>
        <v>12643.5</v>
      </c>
      <c r="V35" s="27">
        <v>31150</v>
      </c>
      <c r="W35" s="36">
        <f>Table113456[[#This Row],[DG Utility NEXT SERVICE]]-Table113456[[#This Row],[DG Utility Run Hr Meter]]</f>
        <v>31150</v>
      </c>
      <c r="X35" s="27">
        <v>3540</v>
      </c>
      <c r="Y35" s="36">
        <f>Table113456[[#This Row],[DG Admin NEXT SERVICE]]-Table113456[[#This Row],[DG Admin Run Hr Meter]]</f>
        <v>3540</v>
      </c>
      <c r="Z35" s="36">
        <f>'PowerHouse Data'!$AJ$4</f>
        <v>0</v>
      </c>
      <c r="AA35" s="36"/>
      <c r="AB35" s="26">
        <v>32</v>
      </c>
      <c r="AC35" s="26">
        <v>98</v>
      </c>
      <c r="AD35" s="41">
        <f>'PowerHouse Data'!$AJ$5</f>
        <v>0</v>
      </c>
    </row>
    <row r="36" spans="1:30" x14ac:dyDescent="0.35">
      <c r="A36" t="s">
        <v>25</v>
      </c>
      <c r="B36" t="s">
        <v>26</v>
      </c>
      <c r="C36">
        <f>SUM(Table113456[Received (Liters)])</f>
        <v>0</v>
      </c>
      <c r="E36" s="17"/>
      <c r="F36" s="17"/>
      <c r="G36" s="17"/>
      <c r="H36" s="17"/>
      <c r="I36" s="17"/>
      <c r="AB36" s="44">
        <v>33</v>
      </c>
      <c r="AC36" s="26">
        <v>102.5</v>
      </c>
      <c r="AD36" s="17"/>
    </row>
    <row r="37" spans="1:30" x14ac:dyDescent="0.35">
      <c r="B37" t="s">
        <v>27</v>
      </c>
      <c r="C37">
        <f>SUM(Table113456[Main Tank
Consumption (Liters)])</f>
        <v>40593.5</v>
      </c>
      <c r="E37" s="17"/>
      <c r="F37" s="17"/>
      <c r="G37" s="17"/>
      <c r="H37" s="17"/>
      <c r="I37" s="17"/>
      <c r="AB37" s="26">
        <v>34</v>
      </c>
      <c r="AC37" s="26">
        <v>107</v>
      </c>
      <c r="AD37" s="17"/>
    </row>
    <row r="38" spans="1:30" x14ac:dyDescent="0.35">
      <c r="C38" s="50" t="s">
        <v>68</v>
      </c>
      <c r="D38" s="51"/>
      <c r="E38" s="51"/>
      <c r="F38" s="51"/>
      <c r="G38" s="17"/>
      <c r="H38" s="17"/>
      <c r="I38" s="17"/>
      <c r="AB38" s="26">
        <v>35</v>
      </c>
      <c r="AC38" s="26">
        <v>111.5</v>
      </c>
      <c r="AD38" s="17"/>
    </row>
    <row r="39" spans="1:30" x14ac:dyDescent="0.35">
      <c r="C39" s="51"/>
      <c r="D39" s="51"/>
      <c r="E39" s="51"/>
      <c r="F39" s="51"/>
      <c r="G39" s="17"/>
      <c r="H39" s="17"/>
      <c r="AB39" s="44">
        <v>36</v>
      </c>
      <c r="AC39" s="26">
        <v>116</v>
      </c>
      <c r="AD39" s="17"/>
    </row>
    <row r="40" spans="1:30" x14ac:dyDescent="0.35">
      <c r="C40" s="51"/>
      <c r="D40" s="51"/>
      <c r="E40" s="51"/>
      <c r="F40" s="51"/>
      <c r="G40" s="17"/>
      <c r="H40" s="17"/>
      <c r="AB40" s="26">
        <v>37</v>
      </c>
      <c r="AC40" s="26">
        <v>121</v>
      </c>
    </row>
    <row r="41" spans="1:30" x14ac:dyDescent="0.35">
      <c r="C41" s="51"/>
      <c r="D41" s="51"/>
      <c r="E41" s="51"/>
      <c r="F41" s="51"/>
      <c r="G41" s="17"/>
      <c r="H41" s="17"/>
      <c r="AB41" s="44">
        <v>38</v>
      </c>
      <c r="AC41" s="26">
        <v>126</v>
      </c>
    </row>
    <row r="42" spans="1:30" x14ac:dyDescent="0.35">
      <c r="C42" s="51"/>
      <c r="D42" s="51"/>
      <c r="E42" s="51"/>
      <c r="F42" s="51"/>
      <c r="G42" s="17"/>
      <c r="H42" s="17"/>
      <c r="AB42" s="26">
        <v>39</v>
      </c>
      <c r="AC42" s="26">
        <v>131</v>
      </c>
    </row>
    <row r="43" spans="1:30" x14ac:dyDescent="0.35">
      <c r="C43" s="51"/>
      <c r="D43" s="51"/>
      <c r="E43" s="51"/>
      <c r="F43" s="51"/>
      <c r="G43" s="17"/>
      <c r="H43" s="17"/>
      <c r="AB43" s="44">
        <v>40</v>
      </c>
      <c r="AC43" s="26">
        <v>136</v>
      </c>
    </row>
    <row r="44" spans="1:30" x14ac:dyDescent="0.35">
      <c r="E44" s="17"/>
      <c r="F44" s="17"/>
      <c r="G44" s="17"/>
      <c r="H44" s="17"/>
      <c r="AB44" s="26">
        <v>41</v>
      </c>
      <c r="AC44" s="26">
        <v>141.25</v>
      </c>
    </row>
    <row r="45" spans="1:30" x14ac:dyDescent="0.35">
      <c r="E45" s="17"/>
      <c r="F45" s="17"/>
      <c r="G45" s="17"/>
      <c r="H45" s="17"/>
      <c r="AB45" s="26">
        <v>42</v>
      </c>
      <c r="AC45" s="26">
        <v>146.5</v>
      </c>
    </row>
    <row r="46" spans="1:30" x14ac:dyDescent="0.35">
      <c r="E46" s="17"/>
      <c r="F46" s="17"/>
      <c r="G46" s="17"/>
      <c r="H46" s="17"/>
      <c r="AB46" s="44">
        <v>43</v>
      </c>
      <c r="AC46" s="26">
        <v>151.75</v>
      </c>
    </row>
    <row r="47" spans="1:30" x14ac:dyDescent="0.35">
      <c r="AB47" s="26">
        <v>44</v>
      </c>
      <c r="AC47" s="26">
        <v>157</v>
      </c>
    </row>
    <row r="48" spans="1:30" x14ac:dyDescent="0.35">
      <c r="AB48" s="44">
        <v>45</v>
      </c>
      <c r="AC48" s="26">
        <v>162.5</v>
      </c>
    </row>
    <row r="49" spans="28:29" x14ac:dyDescent="0.35">
      <c r="AB49" s="26">
        <v>46</v>
      </c>
      <c r="AC49" s="26">
        <v>168</v>
      </c>
    </row>
    <row r="50" spans="28:29" x14ac:dyDescent="0.35">
      <c r="AB50" s="44">
        <v>47</v>
      </c>
      <c r="AC50" s="26">
        <v>173.5</v>
      </c>
    </row>
    <row r="51" spans="28:29" x14ac:dyDescent="0.35">
      <c r="AB51" s="26">
        <v>48</v>
      </c>
      <c r="AC51" s="26">
        <v>179</v>
      </c>
    </row>
    <row r="52" spans="28:29" x14ac:dyDescent="0.35">
      <c r="AB52" s="26">
        <v>49</v>
      </c>
      <c r="AC52" s="26">
        <v>184.75</v>
      </c>
    </row>
    <row r="53" spans="28:29" x14ac:dyDescent="0.35">
      <c r="AB53" s="44">
        <v>50</v>
      </c>
      <c r="AC53" s="26">
        <v>190.5</v>
      </c>
    </row>
    <row r="54" spans="28:29" x14ac:dyDescent="0.35">
      <c r="AB54" s="26">
        <v>51</v>
      </c>
      <c r="AC54" s="26">
        <v>196.25</v>
      </c>
    </row>
    <row r="55" spans="28:29" x14ac:dyDescent="0.35">
      <c r="AB55" s="44">
        <v>52</v>
      </c>
      <c r="AC55" s="26">
        <v>202</v>
      </c>
    </row>
    <row r="56" spans="28:29" x14ac:dyDescent="0.35">
      <c r="AB56" s="26">
        <v>53</v>
      </c>
      <c r="AC56" s="26">
        <v>208</v>
      </c>
    </row>
    <row r="57" spans="28:29" x14ac:dyDescent="0.35">
      <c r="AB57" s="44">
        <v>54</v>
      </c>
      <c r="AC57" s="26">
        <v>214</v>
      </c>
    </row>
    <row r="58" spans="28:29" x14ac:dyDescent="0.35">
      <c r="AB58" s="26">
        <v>55</v>
      </c>
      <c r="AC58" s="26">
        <v>220</v>
      </c>
    </row>
    <row r="59" spans="28:29" x14ac:dyDescent="0.35">
      <c r="AB59" s="26">
        <v>56</v>
      </c>
      <c r="AC59" s="26">
        <v>226</v>
      </c>
    </row>
    <row r="60" spans="28:29" x14ac:dyDescent="0.35">
      <c r="AB60" s="44">
        <v>57</v>
      </c>
      <c r="AC60" s="26">
        <v>232.25</v>
      </c>
    </row>
    <row r="61" spans="28:29" x14ac:dyDescent="0.35">
      <c r="AB61" s="26">
        <v>58</v>
      </c>
      <c r="AC61" s="26">
        <v>238.5</v>
      </c>
    </row>
    <row r="62" spans="28:29" x14ac:dyDescent="0.35">
      <c r="AB62" s="44">
        <v>59</v>
      </c>
      <c r="AC62" s="26">
        <v>244.75</v>
      </c>
    </row>
    <row r="63" spans="28:29" x14ac:dyDescent="0.35">
      <c r="AB63" s="26">
        <v>60</v>
      </c>
      <c r="AC63" s="26">
        <v>251</v>
      </c>
    </row>
    <row r="64" spans="28:29" x14ac:dyDescent="0.35">
      <c r="AB64" s="44">
        <v>61</v>
      </c>
      <c r="AC64" s="26">
        <v>257.25</v>
      </c>
    </row>
    <row r="65" spans="28:29" x14ac:dyDescent="0.35">
      <c r="AB65" s="26">
        <v>62</v>
      </c>
      <c r="AC65" s="26">
        <v>263.5</v>
      </c>
    </row>
    <row r="66" spans="28:29" x14ac:dyDescent="0.35">
      <c r="AB66" s="26">
        <v>63</v>
      </c>
      <c r="AC66" s="26">
        <v>269.75</v>
      </c>
    </row>
    <row r="67" spans="28:29" x14ac:dyDescent="0.35">
      <c r="AB67" s="44">
        <v>64</v>
      </c>
      <c r="AC67" s="26">
        <v>276</v>
      </c>
    </row>
    <row r="68" spans="28:29" x14ac:dyDescent="0.35">
      <c r="AB68" s="26">
        <v>65</v>
      </c>
      <c r="AC68" s="26">
        <v>282.5</v>
      </c>
    </row>
    <row r="69" spans="28:29" x14ac:dyDescent="0.35">
      <c r="AB69" s="44">
        <v>66</v>
      </c>
      <c r="AC69" s="26">
        <v>289</v>
      </c>
    </row>
    <row r="70" spans="28:29" x14ac:dyDescent="0.35">
      <c r="AB70" s="26">
        <v>67</v>
      </c>
      <c r="AC70" s="26">
        <v>295.5</v>
      </c>
    </row>
    <row r="71" spans="28:29" x14ac:dyDescent="0.35">
      <c r="AB71" s="44">
        <v>68</v>
      </c>
      <c r="AC71" s="26">
        <v>302</v>
      </c>
    </row>
    <row r="72" spans="28:29" x14ac:dyDescent="0.35">
      <c r="AB72" s="26">
        <v>69</v>
      </c>
      <c r="AC72" s="26">
        <v>308.75</v>
      </c>
    </row>
    <row r="73" spans="28:29" x14ac:dyDescent="0.35">
      <c r="AB73" s="26">
        <v>70</v>
      </c>
      <c r="AC73" s="26">
        <v>315.5</v>
      </c>
    </row>
    <row r="74" spans="28:29" x14ac:dyDescent="0.35">
      <c r="AB74" s="44">
        <v>71</v>
      </c>
      <c r="AC74" s="26">
        <v>322.25</v>
      </c>
    </row>
    <row r="75" spans="28:29" x14ac:dyDescent="0.35">
      <c r="AB75" s="26">
        <v>72</v>
      </c>
      <c r="AC75" s="26">
        <v>329</v>
      </c>
    </row>
    <row r="76" spans="28:29" x14ac:dyDescent="0.35">
      <c r="AB76" s="44">
        <v>73</v>
      </c>
      <c r="AC76" s="26">
        <v>336</v>
      </c>
    </row>
    <row r="77" spans="28:29" x14ac:dyDescent="0.35">
      <c r="AB77" s="26">
        <v>74</v>
      </c>
      <c r="AC77" s="26">
        <v>343</v>
      </c>
    </row>
    <row r="78" spans="28:29" x14ac:dyDescent="0.35">
      <c r="AB78" s="44">
        <v>75</v>
      </c>
      <c r="AC78" s="26">
        <v>350</v>
      </c>
    </row>
    <row r="79" spans="28:29" x14ac:dyDescent="0.35">
      <c r="AB79" s="26">
        <v>76</v>
      </c>
      <c r="AC79" s="26">
        <v>357</v>
      </c>
    </row>
    <row r="80" spans="28:29" x14ac:dyDescent="0.35">
      <c r="AB80" s="26">
        <v>77</v>
      </c>
      <c r="AC80" s="26">
        <v>364</v>
      </c>
    </row>
    <row r="81" spans="28:29" x14ac:dyDescent="0.35">
      <c r="AB81" s="44">
        <v>78</v>
      </c>
      <c r="AC81" s="26">
        <v>371</v>
      </c>
    </row>
    <row r="82" spans="28:29" x14ac:dyDescent="0.35">
      <c r="AB82" s="26">
        <v>79</v>
      </c>
      <c r="AC82" s="26">
        <v>378</v>
      </c>
    </row>
    <row r="83" spans="28:29" x14ac:dyDescent="0.35">
      <c r="AB83" s="44">
        <v>80</v>
      </c>
      <c r="AC83" s="26">
        <v>385</v>
      </c>
    </row>
    <row r="84" spans="28:29" x14ac:dyDescent="0.35">
      <c r="AB84" s="26">
        <v>81</v>
      </c>
      <c r="AC84" s="26">
        <v>392.5</v>
      </c>
    </row>
    <row r="85" spans="28:29" x14ac:dyDescent="0.35">
      <c r="AB85" s="44">
        <v>82</v>
      </c>
      <c r="AC85" s="26">
        <v>400</v>
      </c>
    </row>
    <row r="86" spans="28:29" x14ac:dyDescent="0.35">
      <c r="AB86" s="26">
        <v>83</v>
      </c>
      <c r="AC86" s="26">
        <v>407.5</v>
      </c>
    </row>
    <row r="87" spans="28:29" x14ac:dyDescent="0.35">
      <c r="AB87" s="26">
        <v>84</v>
      </c>
      <c r="AC87" s="26">
        <v>415</v>
      </c>
    </row>
    <row r="88" spans="28:29" x14ac:dyDescent="0.35">
      <c r="AB88" s="44">
        <v>85</v>
      </c>
      <c r="AC88" s="26">
        <v>422.25</v>
      </c>
    </row>
    <row r="89" spans="28:29" x14ac:dyDescent="0.35">
      <c r="AB89" s="26">
        <v>86</v>
      </c>
      <c r="AC89" s="26">
        <v>429.5</v>
      </c>
    </row>
    <row r="90" spans="28:29" x14ac:dyDescent="0.35">
      <c r="AB90" s="44">
        <v>87</v>
      </c>
      <c r="AC90" s="26">
        <v>436.75</v>
      </c>
    </row>
    <row r="91" spans="28:29" x14ac:dyDescent="0.35">
      <c r="AB91" s="26">
        <v>88</v>
      </c>
      <c r="AC91" s="26">
        <v>444</v>
      </c>
    </row>
    <row r="92" spans="28:29" x14ac:dyDescent="0.35">
      <c r="AB92" s="44">
        <v>89</v>
      </c>
      <c r="AC92" s="26">
        <v>451.75</v>
      </c>
    </row>
    <row r="93" spans="28:29" x14ac:dyDescent="0.35">
      <c r="AB93" s="26">
        <v>90</v>
      </c>
      <c r="AC93" s="26">
        <v>459.5</v>
      </c>
    </row>
    <row r="94" spans="28:29" x14ac:dyDescent="0.35">
      <c r="AB94" s="26">
        <v>91</v>
      </c>
      <c r="AC94" s="26">
        <v>467.25</v>
      </c>
    </row>
    <row r="95" spans="28:29" x14ac:dyDescent="0.35">
      <c r="AB95" s="44">
        <v>92</v>
      </c>
      <c r="AC95" s="26">
        <v>475</v>
      </c>
    </row>
    <row r="96" spans="28:29" x14ac:dyDescent="0.35">
      <c r="AB96" s="26">
        <v>93</v>
      </c>
      <c r="AC96" s="26">
        <v>482.75</v>
      </c>
    </row>
    <row r="97" spans="28:29" x14ac:dyDescent="0.35">
      <c r="AB97" s="44">
        <v>94</v>
      </c>
      <c r="AC97" s="26">
        <v>490.5</v>
      </c>
    </row>
    <row r="98" spans="28:29" x14ac:dyDescent="0.35">
      <c r="AB98" s="26">
        <v>95</v>
      </c>
      <c r="AC98" s="26">
        <v>498.25</v>
      </c>
    </row>
    <row r="99" spans="28:29" x14ac:dyDescent="0.35">
      <c r="AB99" s="44">
        <v>96</v>
      </c>
      <c r="AC99" s="26">
        <v>506</v>
      </c>
    </row>
    <row r="100" spans="28:29" x14ac:dyDescent="0.35">
      <c r="AB100" s="26">
        <v>97</v>
      </c>
      <c r="AC100" s="26">
        <v>514</v>
      </c>
    </row>
    <row r="101" spans="28:29" x14ac:dyDescent="0.35">
      <c r="AB101" s="26">
        <v>98</v>
      </c>
      <c r="AC101" s="26">
        <v>522</v>
      </c>
    </row>
    <row r="102" spans="28:29" x14ac:dyDescent="0.35">
      <c r="AB102" s="44">
        <v>99</v>
      </c>
      <c r="AC102" s="26">
        <v>530</v>
      </c>
    </row>
    <row r="103" spans="28:29" x14ac:dyDescent="0.35">
      <c r="AB103" s="26">
        <v>100</v>
      </c>
      <c r="AC103" s="26">
        <v>538</v>
      </c>
    </row>
    <row r="104" spans="28:29" x14ac:dyDescent="0.35">
      <c r="AB104" s="44">
        <v>101</v>
      </c>
      <c r="AC104" s="26">
        <v>546</v>
      </c>
    </row>
    <row r="105" spans="28:29" x14ac:dyDescent="0.35">
      <c r="AB105" s="26">
        <v>102</v>
      </c>
      <c r="AC105" s="26">
        <v>554</v>
      </c>
    </row>
    <row r="106" spans="28:29" x14ac:dyDescent="0.35">
      <c r="AB106" s="44">
        <v>103</v>
      </c>
      <c r="AC106" s="26">
        <v>562</v>
      </c>
    </row>
    <row r="107" spans="28:29" x14ac:dyDescent="0.35">
      <c r="AB107" s="26">
        <v>104</v>
      </c>
      <c r="AC107" s="26">
        <v>570</v>
      </c>
    </row>
    <row r="108" spans="28:29" x14ac:dyDescent="0.35">
      <c r="AB108" s="26">
        <v>105</v>
      </c>
      <c r="AC108" s="26">
        <v>578</v>
      </c>
    </row>
    <row r="109" spans="28:29" x14ac:dyDescent="0.35">
      <c r="AB109" s="44">
        <v>106</v>
      </c>
      <c r="AC109" s="26">
        <v>586</v>
      </c>
    </row>
    <row r="110" spans="28:29" x14ac:dyDescent="0.35">
      <c r="AB110" s="26">
        <v>107</v>
      </c>
      <c r="AC110" s="26">
        <v>594</v>
      </c>
    </row>
    <row r="111" spans="28:29" x14ac:dyDescent="0.35">
      <c r="AB111" s="44">
        <v>108</v>
      </c>
      <c r="AC111" s="26">
        <v>602</v>
      </c>
    </row>
    <row r="112" spans="28:29" x14ac:dyDescent="0.35">
      <c r="AB112" s="26">
        <v>109</v>
      </c>
      <c r="AC112" s="26">
        <v>610.75</v>
      </c>
    </row>
    <row r="113" spans="28:29" x14ac:dyDescent="0.35">
      <c r="AB113" s="44">
        <v>110</v>
      </c>
      <c r="AC113" s="26">
        <v>619.5</v>
      </c>
    </row>
    <row r="114" spans="28:29" x14ac:dyDescent="0.35">
      <c r="AB114" s="26">
        <v>111</v>
      </c>
      <c r="AC114" s="26">
        <v>628.25</v>
      </c>
    </row>
    <row r="115" spans="28:29" x14ac:dyDescent="0.35">
      <c r="AB115" s="26">
        <v>112</v>
      </c>
      <c r="AC115" s="26">
        <v>637</v>
      </c>
    </row>
    <row r="116" spans="28:29" x14ac:dyDescent="0.35">
      <c r="AB116" s="44">
        <v>113</v>
      </c>
      <c r="AC116" s="26">
        <v>645.5</v>
      </c>
    </row>
    <row r="117" spans="28:29" x14ac:dyDescent="0.35">
      <c r="AB117" s="26">
        <v>114</v>
      </c>
      <c r="AC117" s="26">
        <v>654</v>
      </c>
    </row>
    <row r="118" spans="28:29" x14ac:dyDescent="0.35">
      <c r="AB118" s="44">
        <v>115</v>
      </c>
      <c r="AC118" s="26">
        <v>662.5</v>
      </c>
    </row>
    <row r="119" spans="28:29" x14ac:dyDescent="0.35">
      <c r="AB119" s="26">
        <v>116</v>
      </c>
      <c r="AC119" s="26">
        <v>671</v>
      </c>
    </row>
    <row r="120" spans="28:29" x14ac:dyDescent="0.35">
      <c r="AB120" s="44">
        <v>117</v>
      </c>
      <c r="AC120" s="26">
        <v>679.75</v>
      </c>
    </row>
    <row r="121" spans="28:29" x14ac:dyDescent="0.35">
      <c r="AB121" s="26">
        <v>118</v>
      </c>
      <c r="AC121" s="26">
        <v>688.5</v>
      </c>
    </row>
    <row r="122" spans="28:29" x14ac:dyDescent="0.35">
      <c r="AB122" s="26">
        <v>119</v>
      </c>
      <c r="AC122" s="26">
        <v>697.25</v>
      </c>
    </row>
    <row r="123" spans="28:29" x14ac:dyDescent="0.35">
      <c r="AB123" s="44">
        <v>120</v>
      </c>
      <c r="AC123" s="26">
        <v>706</v>
      </c>
    </row>
    <row r="124" spans="28:29" x14ac:dyDescent="0.35">
      <c r="AB124" s="26">
        <v>121</v>
      </c>
      <c r="AC124" s="26">
        <v>714.75</v>
      </c>
    </row>
    <row r="125" spans="28:29" x14ac:dyDescent="0.35">
      <c r="AB125" s="44">
        <v>122</v>
      </c>
      <c r="AC125" s="26">
        <v>723.5</v>
      </c>
    </row>
    <row r="126" spans="28:29" x14ac:dyDescent="0.35">
      <c r="AB126" s="26">
        <v>123</v>
      </c>
      <c r="AC126" s="26">
        <v>732.25</v>
      </c>
    </row>
    <row r="127" spans="28:29" x14ac:dyDescent="0.35">
      <c r="AB127" s="44">
        <v>124</v>
      </c>
      <c r="AC127" s="26">
        <v>741</v>
      </c>
    </row>
    <row r="128" spans="28:29" x14ac:dyDescent="0.35">
      <c r="AB128" s="26">
        <v>125</v>
      </c>
      <c r="AC128" s="26">
        <v>750</v>
      </c>
    </row>
    <row r="129" spans="28:29" x14ac:dyDescent="0.35">
      <c r="AB129" s="26">
        <v>126</v>
      </c>
      <c r="AC129" s="26">
        <v>759</v>
      </c>
    </row>
    <row r="130" spans="28:29" x14ac:dyDescent="0.35">
      <c r="AB130" s="44">
        <v>127</v>
      </c>
      <c r="AC130" s="26">
        <v>768</v>
      </c>
    </row>
    <row r="131" spans="28:29" x14ac:dyDescent="0.35">
      <c r="AB131" s="26">
        <v>128</v>
      </c>
      <c r="AC131" s="26">
        <v>777</v>
      </c>
    </row>
    <row r="132" spans="28:29" x14ac:dyDescent="0.35">
      <c r="AB132" s="44">
        <v>129</v>
      </c>
      <c r="AC132" s="26">
        <v>786</v>
      </c>
    </row>
    <row r="133" spans="28:29" x14ac:dyDescent="0.35">
      <c r="AB133" s="26">
        <v>130</v>
      </c>
      <c r="AC133" s="26">
        <v>795</v>
      </c>
    </row>
    <row r="134" spans="28:29" x14ac:dyDescent="0.35">
      <c r="AB134" s="44">
        <v>131</v>
      </c>
      <c r="AC134" s="26">
        <v>804</v>
      </c>
    </row>
    <row r="135" spans="28:29" x14ac:dyDescent="0.35">
      <c r="AB135" s="26">
        <v>132</v>
      </c>
      <c r="AC135" s="26">
        <v>813</v>
      </c>
    </row>
    <row r="136" spans="28:29" x14ac:dyDescent="0.35">
      <c r="AB136" s="26">
        <v>133</v>
      </c>
      <c r="AC136" s="26">
        <v>822.25</v>
      </c>
    </row>
    <row r="137" spans="28:29" x14ac:dyDescent="0.35">
      <c r="AB137" s="44">
        <v>134</v>
      </c>
      <c r="AC137" s="26">
        <v>831.5</v>
      </c>
    </row>
    <row r="138" spans="28:29" x14ac:dyDescent="0.35">
      <c r="AB138" s="26">
        <v>135</v>
      </c>
      <c r="AC138" s="26">
        <v>840.75</v>
      </c>
    </row>
    <row r="139" spans="28:29" x14ac:dyDescent="0.35">
      <c r="AB139" s="44">
        <v>136</v>
      </c>
      <c r="AC139" s="26">
        <v>850</v>
      </c>
    </row>
    <row r="140" spans="28:29" x14ac:dyDescent="0.35">
      <c r="AB140" s="26">
        <v>137</v>
      </c>
      <c r="AC140" s="26">
        <v>859.5</v>
      </c>
    </row>
    <row r="141" spans="28:29" x14ac:dyDescent="0.35">
      <c r="AB141" s="44">
        <v>138</v>
      </c>
      <c r="AC141" s="26">
        <v>869</v>
      </c>
    </row>
    <row r="142" spans="28:29" x14ac:dyDescent="0.35">
      <c r="AB142" s="26">
        <v>139</v>
      </c>
      <c r="AC142" s="26">
        <v>878.5</v>
      </c>
    </row>
    <row r="143" spans="28:29" x14ac:dyDescent="0.35">
      <c r="AB143" s="26">
        <v>140</v>
      </c>
      <c r="AC143" s="26">
        <v>888</v>
      </c>
    </row>
    <row r="144" spans="28:29" x14ac:dyDescent="0.35">
      <c r="AB144" s="44">
        <v>141</v>
      </c>
      <c r="AC144" s="26">
        <v>897.5</v>
      </c>
    </row>
    <row r="145" spans="28:29" x14ac:dyDescent="0.35">
      <c r="AB145" s="26">
        <v>142</v>
      </c>
      <c r="AC145" s="26">
        <v>907</v>
      </c>
    </row>
    <row r="146" spans="28:29" x14ac:dyDescent="0.35">
      <c r="AB146" s="44">
        <v>143</v>
      </c>
      <c r="AC146" s="26">
        <v>916.5</v>
      </c>
    </row>
    <row r="147" spans="28:29" x14ac:dyDescent="0.35">
      <c r="AB147" s="26">
        <v>144</v>
      </c>
      <c r="AC147" s="26">
        <v>926</v>
      </c>
    </row>
    <row r="148" spans="28:29" x14ac:dyDescent="0.35">
      <c r="AB148" s="44">
        <v>145</v>
      </c>
      <c r="AC148" s="26">
        <v>935.5</v>
      </c>
    </row>
    <row r="149" spans="28:29" x14ac:dyDescent="0.35">
      <c r="AB149" s="26">
        <v>146</v>
      </c>
      <c r="AC149" s="26">
        <v>945</v>
      </c>
    </row>
    <row r="150" spans="28:29" x14ac:dyDescent="0.35">
      <c r="AB150" s="26">
        <v>147</v>
      </c>
      <c r="AC150" s="26">
        <v>954.5</v>
      </c>
    </row>
    <row r="151" spans="28:29" x14ac:dyDescent="0.35">
      <c r="AB151" s="44">
        <v>148</v>
      </c>
      <c r="AC151" s="26">
        <v>964</v>
      </c>
    </row>
    <row r="152" spans="28:29" x14ac:dyDescent="0.35">
      <c r="AB152" s="26">
        <v>149</v>
      </c>
      <c r="AC152" s="26">
        <v>973.75</v>
      </c>
    </row>
    <row r="153" spans="28:29" x14ac:dyDescent="0.35">
      <c r="AB153" s="44">
        <v>150</v>
      </c>
      <c r="AC153" s="26">
        <v>983.5</v>
      </c>
    </row>
    <row r="154" spans="28:29" x14ac:dyDescent="0.35">
      <c r="AB154" s="26">
        <v>151</v>
      </c>
      <c r="AC154" s="26">
        <v>993.25</v>
      </c>
    </row>
    <row r="155" spans="28:29" x14ac:dyDescent="0.35">
      <c r="AB155" s="44">
        <v>152</v>
      </c>
      <c r="AC155" s="26">
        <v>1003</v>
      </c>
    </row>
    <row r="156" spans="28:29" x14ac:dyDescent="0.35">
      <c r="AB156" s="26">
        <v>153</v>
      </c>
      <c r="AC156" s="26">
        <v>1013</v>
      </c>
    </row>
    <row r="157" spans="28:29" x14ac:dyDescent="0.35">
      <c r="AB157" s="26">
        <v>154</v>
      </c>
      <c r="AC157" s="26">
        <v>1023</v>
      </c>
    </row>
    <row r="158" spans="28:29" x14ac:dyDescent="0.35">
      <c r="AB158" s="44">
        <v>155</v>
      </c>
      <c r="AC158" s="26">
        <v>1033</v>
      </c>
    </row>
    <row r="159" spans="28:29" x14ac:dyDescent="0.35">
      <c r="AB159" s="26">
        <v>156</v>
      </c>
      <c r="AC159" s="26">
        <v>1043</v>
      </c>
    </row>
    <row r="160" spans="28:29" x14ac:dyDescent="0.35">
      <c r="AB160" s="44">
        <v>157</v>
      </c>
      <c r="AC160" s="26">
        <v>1053</v>
      </c>
    </row>
    <row r="161" spans="28:29" x14ac:dyDescent="0.35">
      <c r="AB161" s="26">
        <v>158</v>
      </c>
      <c r="AC161" s="26">
        <v>1063</v>
      </c>
    </row>
    <row r="162" spans="28:29" x14ac:dyDescent="0.35">
      <c r="AB162" s="44">
        <v>159</v>
      </c>
      <c r="AC162" s="26">
        <v>1073</v>
      </c>
    </row>
    <row r="163" spans="28:29" x14ac:dyDescent="0.35">
      <c r="AB163" s="26">
        <v>160</v>
      </c>
      <c r="AC163" s="26">
        <v>1083</v>
      </c>
    </row>
    <row r="164" spans="28:29" x14ac:dyDescent="0.35">
      <c r="AB164" s="26">
        <v>161</v>
      </c>
      <c r="AC164" s="26">
        <v>1093</v>
      </c>
    </row>
    <row r="165" spans="28:29" x14ac:dyDescent="0.35">
      <c r="AB165" s="44">
        <v>162</v>
      </c>
      <c r="AC165" s="26">
        <v>1103</v>
      </c>
    </row>
    <row r="166" spans="28:29" x14ac:dyDescent="0.35">
      <c r="AB166" s="26">
        <v>163</v>
      </c>
      <c r="AC166" s="26">
        <v>1113</v>
      </c>
    </row>
    <row r="167" spans="28:29" x14ac:dyDescent="0.35">
      <c r="AB167" s="44">
        <v>164</v>
      </c>
      <c r="AC167" s="26">
        <v>1123</v>
      </c>
    </row>
    <row r="168" spans="28:29" x14ac:dyDescent="0.35">
      <c r="AB168" s="26">
        <v>165</v>
      </c>
      <c r="AC168" s="26">
        <v>1133.25</v>
      </c>
    </row>
    <row r="169" spans="28:29" x14ac:dyDescent="0.35">
      <c r="AB169" s="44">
        <v>166</v>
      </c>
      <c r="AC169" s="26">
        <v>1143.5</v>
      </c>
    </row>
    <row r="170" spans="28:29" x14ac:dyDescent="0.35">
      <c r="AB170" s="26">
        <v>167</v>
      </c>
      <c r="AC170" s="26">
        <v>1153.75</v>
      </c>
    </row>
    <row r="171" spans="28:29" x14ac:dyDescent="0.35">
      <c r="AB171" s="26">
        <v>168</v>
      </c>
      <c r="AC171" s="26">
        <v>1164</v>
      </c>
    </row>
    <row r="172" spans="28:29" x14ac:dyDescent="0.35">
      <c r="AB172" s="44">
        <v>169</v>
      </c>
      <c r="AC172" s="26">
        <v>1174.25</v>
      </c>
    </row>
    <row r="173" spans="28:29" x14ac:dyDescent="0.35">
      <c r="AB173" s="26">
        <v>170</v>
      </c>
      <c r="AC173" s="26">
        <v>1184.5</v>
      </c>
    </row>
    <row r="174" spans="28:29" x14ac:dyDescent="0.35">
      <c r="AB174" s="44">
        <v>171</v>
      </c>
      <c r="AC174" s="26">
        <v>1194.75</v>
      </c>
    </row>
    <row r="175" spans="28:29" x14ac:dyDescent="0.35">
      <c r="AB175" s="26">
        <v>172</v>
      </c>
      <c r="AC175" s="26">
        <v>1205</v>
      </c>
    </row>
    <row r="176" spans="28:29" x14ac:dyDescent="0.35">
      <c r="AB176" s="44">
        <v>173</v>
      </c>
      <c r="AC176" s="26">
        <v>1215.5</v>
      </c>
    </row>
    <row r="177" spans="28:29" x14ac:dyDescent="0.35">
      <c r="AB177" s="26">
        <v>174</v>
      </c>
      <c r="AC177" s="26">
        <v>1226</v>
      </c>
    </row>
    <row r="178" spans="28:29" x14ac:dyDescent="0.35">
      <c r="AB178" s="26">
        <v>175</v>
      </c>
      <c r="AC178" s="26">
        <v>1236.5</v>
      </c>
    </row>
    <row r="179" spans="28:29" x14ac:dyDescent="0.35">
      <c r="AB179" s="44">
        <v>176</v>
      </c>
      <c r="AC179" s="26">
        <v>1247</v>
      </c>
    </row>
    <row r="180" spans="28:29" x14ac:dyDescent="0.35">
      <c r="AB180" s="26">
        <v>177</v>
      </c>
      <c r="AC180" s="26">
        <v>1257.5</v>
      </c>
    </row>
    <row r="181" spans="28:29" x14ac:dyDescent="0.35">
      <c r="AB181" s="44">
        <v>178</v>
      </c>
      <c r="AC181" s="26">
        <v>1268</v>
      </c>
    </row>
    <row r="182" spans="28:29" x14ac:dyDescent="0.35">
      <c r="AB182" s="26">
        <v>179</v>
      </c>
      <c r="AC182" s="26">
        <v>1278.5</v>
      </c>
    </row>
    <row r="183" spans="28:29" x14ac:dyDescent="0.35">
      <c r="AB183" s="44">
        <v>180</v>
      </c>
      <c r="AC183" s="26">
        <v>1289</v>
      </c>
    </row>
    <row r="184" spans="28:29" x14ac:dyDescent="0.35">
      <c r="AB184" s="26">
        <v>181</v>
      </c>
      <c r="AC184" s="26">
        <v>1299.75</v>
      </c>
    </row>
    <row r="185" spans="28:29" x14ac:dyDescent="0.35">
      <c r="AB185" s="26">
        <v>182</v>
      </c>
      <c r="AC185" s="26">
        <v>1310.5</v>
      </c>
    </row>
    <row r="186" spans="28:29" x14ac:dyDescent="0.35">
      <c r="AB186" s="44">
        <v>183</v>
      </c>
      <c r="AC186" s="26">
        <v>1321.25</v>
      </c>
    </row>
    <row r="187" spans="28:29" x14ac:dyDescent="0.35">
      <c r="AB187" s="26">
        <v>184</v>
      </c>
      <c r="AC187" s="26">
        <v>1332</v>
      </c>
    </row>
    <row r="188" spans="28:29" x14ac:dyDescent="0.35">
      <c r="AB188" s="44">
        <v>185</v>
      </c>
      <c r="AC188" s="26">
        <v>1342.75</v>
      </c>
    </row>
    <row r="189" spans="28:29" x14ac:dyDescent="0.35">
      <c r="AB189" s="26">
        <v>186</v>
      </c>
      <c r="AC189" s="26">
        <v>1353.5</v>
      </c>
    </row>
    <row r="190" spans="28:29" x14ac:dyDescent="0.35">
      <c r="AB190" s="44">
        <v>187</v>
      </c>
      <c r="AC190" s="26">
        <v>1364.25</v>
      </c>
    </row>
    <row r="191" spans="28:29" x14ac:dyDescent="0.35">
      <c r="AB191" s="26">
        <v>188</v>
      </c>
      <c r="AC191" s="26">
        <v>1375</v>
      </c>
    </row>
    <row r="192" spans="28:29" x14ac:dyDescent="0.35">
      <c r="AB192" s="26">
        <v>189</v>
      </c>
      <c r="AC192" s="26">
        <v>1386</v>
      </c>
    </row>
    <row r="193" spans="28:29" x14ac:dyDescent="0.35">
      <c r="AB193" s="44">
        <v>190</v>
      </c>
      <c r="AC193" s="26">
        <v>1397</v>
      </c>
    </row>
    <row r="194" spans="28:29" x14ac:dyDescent="0.35">
      <c r="AB194" s="26">
        <v>191</v>
      </c>
      <c r="AC194" s="26">
        <v>1408</v>
      </c>
    </row>
    <row r="195" spans="28:29" x14ac:dyDescent="0.35">
      <c r="AB195" s="44">
        <v>192</v>
      </c>
      <c r="AC195" s="26">
        <v>1419</v>
      </c>
    </row>
    <row r="196" spans="28:29" x14ac:dyDescent="0.35">
      <c r="AB196" s="26">
        <v>193</v>
      </c>
      <c r="AC196" s="26">
        <v>1430</v>
      </c>
    </row>
    <row r="197" spans="28:29" x14ac:dyDescent="0.35">
      <c r="AB197" s="44">
        <v>194</v>
      </c>
      <c r="AC197" s="26">
        <v>1441</v>
      </c>
    </row>
    <row r="198" spans="28:29" x14ac:dyDescent="0.35">
      <c r="AB198" s="26">
        <v>195</v>
      </c>
      <c r="AC198" s="26">
        <v>1452</v>
      </c>
    </row>
    <row r="199" spans="28:29" x14ac:dyDescent="0.35">
      <c r="AB199" s="26">
        <v>196</v>
      </c>
      <c r="AC199" s="26">
        <v>1463</v>
      </c>
    </row>
    <row r="200" spans="28:29" x14ac:dyDescent="0.35">
      <c r="AB200" s="44">
        <v>197</v>
      </c>
      <c r="AC200" s="26">
        <v>1474</v>
      </c>
    </row>
    <row r="201" spans="28:29" x14ac:dyDescent="0.35">
      <c r="AB201" s="26">
        <v>198</v>
      </c>
      <c r="AC201" s="26">
        <v>1485</v>
      </c>
    </row>
    <row r="202" spans="28:29" x14ac:dyDescent="0.35">
      <c r="AB202" s="44">
        <v>199</v>
      </c>
      <c r="AC202" s="26">
        <v>1496</v>
      </c>
    </row>
    <row r="203" spans="28:29" x14ac:dyDescent="0.35">
      <c r="AB203" s="26">
        <v>200</v>
      </c>
      <c r="AC203" s="26">
        <v>1507</v>
      </c>
    </row>
    <row r="204" spans="28:29" x14ac:dyDescent="0.35">
      <c r="AB204" s="44">
        <v>201</v>
      </c>
      <c r="AC204" s="26">
        <v>1518.25</v>
      </c>
    </row>
    <row r="205" spans="28:29" x14ac:dyDescent="0.35">
      <c r="AB205" s="26">
        <v>202</v>
      </c>
      <c r="AC205" s="26">
        <v>1529.5</v>
      </c>
    </row>
    <row r="206" spans="28:29" x14ac:dyDescent="0.35">
      <c r="AB206" s="26">
        <v>203</v>
      </c>
      <c r="AC206" s="26">
        <v>1540.75</v>
      </c>
    </row>
    <row r="207" spans="28:29" x14ac:dyDescent="0.35">
      <c r="AB207" s="44">
        <v>204</v>
      </c>
      <c r="AC207" s="26">
        <v>1552</v>
      </c>
    </row>
    <row r="208" spans="28:29" x14ac:dyDescent="0.35">
      <c r="AB208" s="26">
        <v>205</v>
      </c>
      <c r="AC208" s="26">
        <v>1563.25</v>
      </c>
    </row>
    <row r="209" spans="28:29" x14ac:dyDescent="0.35">
      <c r="AB209" s="44">
        <v>206</v>
      </c>
      <c r="AC209" s="26">
        <v>1574.5</v>
      </c>
    </row>
    <row r="210" spans="28:29" x14ac:dyDescent="0.35">
      <c r="AB210" s="26">
        <v>207</v>
      </c>
      <c r="AC210" s="26">
        <v>1585.75</v>
      </c>
    </row>
    <row r="211" spans="28:29" x14ac:dyDescent="0.35">
      <c r="AB211" s="44">
        <v>208</v>
      </c>
      <c r="AC211" s="26">
        <v>1597</v>
      </c>
    </row>
    <row r="212" spans="28:29" x14ac:dyDescent="0.35">
      <c r="AB212" s="26">
        <v>209</v>
      </c>
      <c r="AC212" s="26">
        <v>1608.5</v>
      </c>
    </row>
    <row r="213" spans="28:29" x14ac:dyDescent="0.35">
      <c r="AB213" s="26">
        <v>210</v>
      </c>
      <c r="AC213" s="26">
        <v>1620</v>
      </c>
    </row>
    <row r="214" spans="28:29" x14ac:dyDescent="0.35">
      <c r="AB214" s="44">
        <v>211</v>
      </c>
      <c r="AC214" s="26">
        <v>1631.5</v>
      </c>
    </row>
    <row r="215" spans="28:29" x14ac:dyDescent="0.35">
      <c r="AB215" s="26">
        <v>212</v>
      </c>
      <c r="AC215" s="26">
        <v>1643</v>
      </c>
    </row>
    <row r="216" spans="28:29" x14ac:dyDescent="0.35">
      <c r="AB216" s="44">
        <v>213</v>
      </c>
      <c r="AC216" s="26">
        <v>1654.5</v>
      </c>
    </row>
    <row r="217" spans="28:29" x14ac:dyDescent="0.35">
      <c r="AB217" s="26">
        <v>214</v>
      </c>
      <c r="AC217" s="26">
        <v>1666</v>
      </c>
    </row>
    <row r="218" spans="28:29" x14ac:dyDescent="0.35">
      <c r="AB218" s="44">
        <v>215</v>
      </c>
      <c r="AC218" s="26">
        <v>1677.5</v>
      </c>
    </row>
    <row r="219" spans="28:29" x14ac:dyDescent="0.35">
      <c r="AB219" s="26">
        <v>216</v>
      </c>
      <c r="AC219" s="26">
        <v>1689</v>
      </c>
    </row>
    <row r="220" spans="28:29" x14ac:dyDescent="0.35">
      <c r="AB220" s="26">
        <v>217</v>
      </c>
      <c r="AC220" s="26">
        <v>1700.5</v>
      </c>
    </row>
    <row r="221" spans="28:29" x14ac:dyDescent="0.35">
      <c r="AB221" s="44">
        <v>218</v>
      </c>
      <c r="AC221" s="26">
        <v>1712</v>
      </c>
    </row>
    <row r="222" spans="28:29" x14ac:dyDescent="0.35">
      <c r="AB222" s="26">
        <v>219</v>
      </c>
      <c r="AC222" s="26">
        <v>1723.5</v>
      </c>
    </row>
    <row r="223" spans="28:29" x14ac:dyDescent="0.35">
      <c r="AB223" s="44">
        <v>220</v>
      </c>
      <c r="AC223" s="26">
        <v>1735</v>
      </c>
    </row>
    <row r="224" spans="28:29" x14ac:dyDescent="0.35">
      <c r="AB224" s="26">
        <v>221</v>
      </c>
      <c r="AC224" s="26">
        <v>1746.75</v>
      </c>
    </row>
    <row r="225" spans="28:29" x14ac:dyDescent="0.35">
      <c r="AB225" s="44">
        <v>222</v>
      </c>
      <c r="AC225" s="26">
        <v>1758.5</v>
      </c>
    </row>
    <row r="226" spans="28:29" x14ac:dyDescent="0.35">
      <c r="AB226" s="26">
        <v>223</v>
      </c>
      <c r="AC226" s="26">
        <v>1770.25</v>
      </c>
    </row>
    <row r="227" spans="28:29" x14ac:dyDescent="0.35">
      <c r="AB227" s="26">
        <v>224</v>
      </c>
      <c r="AC227" s="26">
        <v>1782</v>
      </c>
    </row>
    <row r="228" spans="28:29" x14ac:dyDescent="0.35">
      <c r="AB228" s="44">
        <v>225</v>
      </c>
      <c r="AC228" s="26">
        <v>1793.75</v>
      </c>
    </row>
    <row r="229" spans="28:29" x14ac:dyDescent="0.35">
      <c r="AB229" s="26">
        <v>226</v>
      </c>
      <c r="AC229" s="26">
        <v>1805.5</v>
      </c>
    </row>
    <row r="230" spans="28:29" x14ac:dyDescent="0.35">
      <c r="AB230" s="44">
        <v>227</v>
      </c>
      <c r="AC230" s="26">
        <v>1817.25</v>
      </c>
    </row>
    <row r="231" spans="28:29" x14ac:dyDescent="0.35">
      <c r="AB231" s="26">
        <v>228</v>
      </c>
      <c r="AC231" s="26">
        <v>1829</v>
      </c>
    </row>
    <row r="232" spans="28:29" x14ac:dyDescent="0.35">
      <c r="AB232" s="44">
        <v>229</v>
      </c>
      <c r="AC232" s="26">
        <v>1841</v>
      </c>
    </row>
    <row r="233" spans="28:29" x14ac:dyDescent="0.35">
      <c r="AB233" s="26">
        <v>230</v>
      </c>
      <c r="AC233" s="26">
        <v>1853</v>
      </c>
    </row>
    <row r="234" spans="28:29" x14ac:dyDescent="0.35">
      <c r="AB234" s="26">
        <v>231</v>
      </c>
      <c r="AC234" s="26">
        <v>1865</v>
      </c>
    </row>
    <row r="235" spans="28:29" x14ac:dyDescent="0.35">
      <c r="AB235" s="44">
        <v>232</v>
      </c>
      <c r="AC235" s="26">
        <v>1877</v>
      </c>
    </row>
    <row r="236" spans="28:29" x14ac:dyDescent="0.35">
      <c r="AB236" s="26">
        <v>233</v>
      </c>
      <c r="AC236" s="26">
        <v>1888.75</v>
      </c>
    </row>
    <row r="237" spans="28:29" x14ac:dyDescent="0.35">
      <c r="AB237" s="44">
        <v>234</v>
      </c>
      <c r="AC237" s="26">
        <v>1900.5</v>
      </c>
    </row>
    <row r="238" spans="28:29" x14ac:dyDescent="0.35">
      <c r="AB238" s="26">
        <v>235</v>
      </c>
      <c r="AC238" s="26">
        <v>1912.25</v>
      </c>
    </row>
    <row r="239" spans="28:29" x14ac:dyDescent="0.35">
      <c r="AB239" s="44">
        <v>236</v>
      </c>
      <c r="AC239" s="26">
        <v>1924</v>
      </c>
    </row>
    <row r="240" spans="28:29" x14ac:dyDescent="0.35">
      <c r="AB240" s="26">
        <v>237</v>
      </c>
      <c r="AC240" s="26">
        <v>1936.25</v>
      </c>
    </row>
    <row r="241" spans="28:29" x14ac:dyDescent="0.35">
      <c r="AB241" s="26">
        <v>238</v>
      </c>
      <c r="AC241" s="26">
        <v>1948.5</v>
      </c>
    </row>
    <row r="242" spans="28:29" x14ac:dyDescent="0.35">
      <c r="AB242" s="44">
        <v>239</v>
      </c>
      <c r="AC242" s="26">
        <v>1960.75</v>
      </c>
    </row>
    <row r="243" spans="28:29" x14ac:dyDescent="0.35">
      <c r="AB243" s="26">
        <v>240</v>
      </c>
      <c r="AC243" s="26">
        <v>1973</v>
      </c>
    </row>
    <row r="244" spans="28:29" x14ac:dyDescent="0.35">
      <c r="AB244" s="44">
        <v>241</v>
      </c>
      <c r="AC244" s="26">
        <v>1985</v>
      </c>
    </row>
    <row r="245" spans="28:29" x14ac:dyDescent="0.35">
      <c r="AB245" s="26">
        <v>242</v>
      </c>
      <c r="AC245" s="26">
        <v>1997</v>
      </c>
    </row>
    <row r="246" spans="28:29" x14ac:dyDescent="0.35">
      <c r="AB246" s="44">
        <v>243</v>
      </c>
      <c r="AC246" s="26">
        <v>2009</v>
      </c>
    </row>
    <row r="247" spans="28:29" x14ac:dyDescent="0.35">
      <c r="AB247" s="26">
        <v>244</v>
      </c>
      <c r="AC247" s="26">
        <v>2021</v>
      </c>
    </row>
    <row r="248" spans="28:29" x14ac:dyDescent="0.35">
      <c r="AB248" s="26">
        <v>245</v>
      </c>
      <c r="AC248" s="26">
        <v>2033.25</v>
      </c>
    </row>
    <row r="249" spans="28:29" x14ac:dyDescent="0.35">
      <c r="AB249" s="44">
        <v>246</v>
      </c>
      <c r="AC249" s="26">
        <v>2045.5</v>
      </c>
    </row>
    <row r="250" spans="28:29" x14ac:dyDescent="0.35">
      <c r="AB250" s="26">
        <v>247</v>
      </c>
      <c r="AC250" s="26">
        <v>2057.75</v>
      </c>
    </row>
    <row r="251" spans="28:29" x14ac:dyDescent="0.35">
      <c r="AB251" s="44">
        <v>248</v>
      </c>
      <c r="AC251" s="26">
        <v>2070</v>
      </c>
    </row>
    <row r="252" spans="28:29" x14ac:dyDescent="0.35">
      <c r="AB252" s="26">
        <v>249</v>
      </c>
      <c r="AC252" s="26">
        <v>2082.5</v>
      </c>
    </row>
    <row r="253" spans="28:29" x14ac:dyDescent="0.35">
      <c r="AB253" s="44">
        <v>250</v>
      </c>
      <c r="AC253" s="26">
        <v>2095</v>
      </c>
    </row>
    <row r="254" spans="28:29" x14ac:dyDescent="0.35">
      <c r="AB254" s="26">
        <v>251</v>
      </c>
      <c r="AC254" s="26">
        <v>2107.5</v>
      </c>
    </row>
    <row r="255" spans="28:29" x14ac:dyDescent="0.35">
      <c r="AB255" s="26">
        <v>252</v>
      </c>
      <c r="AC255" s="26">
        <v>2120</v>
      </c>
    </row>
    <row r="256" spans="28:29" x14ac:dyDescent="0.35">
      <c r="AB256" s="44">
        <v>253</v>
      </c>
      <c r="AC256" s="26">
        <v>2132.5</v>
      </c>
    </row>
    <row r="257" spans="28:29" x14ac:dyDescent="0.35">
      <c r="AB257" s="26">
        <v>254</v>
      </c>
      <c r="AC257" s="26">
        <v>2145</v>
      </c>
    </row>
    <row r="258" spans="28:29" x14ac:dyDescent="0.35">
      <c r="AB258" s="44">
        <v>255</v>
      </c>
      <c r="AC258" s="26">
        <v>2157.5</v>
      </c>
    </row>
    <row r="259" spans="28:29" x14ac:dyDescent="0.35">
      <c r="AB259" s="26">
        <v>256</v>
      </c>
      <c r="AC259" s="26">
        <v>2170</v>
      </c>
    </row>
    <row r="260" spans="28:29" x14ac:dyDescent="0.35">
      <c r="AB260" s="44">
        <v>257</v>
      </c>
      <c r="AC260" s="26">
        <v>2182.5</v>
      </c>
    </row>
    <row r="261" spans="28:29" x14ac:dyDescent="0.35">
      <c r="AB261" s="26">
        <v>258</v>
      </c>
      <c r="AC261" s="26">
        <v>2195</v>
      </c>
    </row>
    <row r="262" spans="28:29" x14ac:dyDescent="0.35">
      <c r="AB262" s="26">
        <v>259</v>
      </c>
      <c r="AC262" s="26">
        <v>2207.5</v>
      </c>
    </row>
    <row r="263" spans="28:29" x14ac:dyDescent="0.35">
      <c r="AB263" s="44">
        <v>260</v>
      </c>
      <c r="AC263" s="26">
        <v>2220</v>
      </c>
    </row>
    <row r="264" spans="28:29" x14ac:dyDescent="0.35">
      <c r="AB264" s="26">
        <v>261</v>
      </c>
      <c r="AC264" s="26">
        <v>2232.5</v>
      </c>
    </row>
    <row r="265" spans="28:29" x14ac:dyDescent="0.35">
      <c r="AB265" s="44">
        <v>262</v>
      </c>
      <c r="AC265" s="26">
        <v>2245</v>
      </c>
    </row>
    <row r="266" spans="28:29" x14ac:dyDescent="0.35">
      <c r="AB266" s="26">
        <v>263</v>
      </c>
      <c r="AC266" s="26">
        <v>2257.5</v>
      </c>
    </row>
    <row r="267" spans="28:29" x14ac:dyDescent="0.35">
      <c r="AB267" s="44">
        <v>264</v>
      </c>
      <c r="AC267" s="26">
        <v>2270</v>
      </c>
    </row>
    <row r="268" spans="28:29" x14ac:dyDescent="0.35">
      <c r="AB268" s="26">
        <v>265</v>
      </c>
      <c r="AC268" s="26">
        <v>2282.75</v>
      </c>
    </row>
    <row r="269" spans="28:29" x14ac:dyDescent="0.35">
      <c r="AB269" s="26">
        <v>266</v>
      </c>
      <c r="AC269" s="26">
        <v>2295.5</v>
      </c>
    </row>
    <row r="270" spans="28:29" x14ac:dyDescent="0.35">
      <c r="AB270" s="44">
        <v>267</v>
      </c>
      <c r="AC270" s="26">
        <v>2308.25</v>
      </c>
    </row>
    <row r="271" spans="28:29" x14ac:dyDescent="0.35">
      <c r="AB271" s="26">
        <v>268</v>
      </c>
      <c r="AC271" s="26">
        <v>2321</v>
      </c>
    </row>
    <row r="272" spans="28:29" x14ac:dyDescent="0.35">
      <c r="AB272" s="44">
        <v>269</v>
      </c>
      <c r="AC272" s="26">
        <v>2333.75</v>
      </c>
    </row>
    <row r="273" spans="28:29" x14ac:dyDescent="0.35">
      <c r="AB273" s="26">
        <v>270</v>
      </c>
      <c r="AC273" s="26">
        <v>2346.5</v>
      </c>
    </row>
    <row r="274" spans="28:29" x14ac:dyDescent="0.35">
      <c r="AB274" s="44">
        <v>271</v>
      </c>
      <c r="AC274" s="26">
        <v>2359.25</v>
      </c>
    </row>
    <row r="275" spans="28:29" x14ac:dyDescent="0.35">
      <c r="AB275" s="26">
        <v>272</v>
      </c>
      <c r="AC275" s="26">
        <v>2372</v>
      </c>
    </row>
    <row r="276" spans="28:29" x14ac:dyDescent="0.35">
      <c r="AB276" s="26">
        <v>273</v>
      </c>
      <c r="AC276" s="26">
        <v>2385</v>
      </c>
    </row>
    <row r="277" spans="28:29" x14ac:dyDescent="0.35">
      <c r="AB277" s="44">
        <v>274</v>
      </c>
      <c r="AC277" s="26">
        <v>2398</v>
      </c>
    </row>
    <row r="278" spans="28:29" x14ac:dyDescent="0.35">
      <c r="AB278" s="26">
        <v>275</v>
      </c>
      <c r="AC278" s="26">
        <v>2411</v>
      </c>
    </row>
    <row r="279" spans="28:29" x14ac:dyDescent="0.35">
      <c r="AB279" s="44">
        <v>276</v>
      </c>
      <c r="AC279" s="26">
        <v>2424</v>
      </c>
    </row>
    <row r="280" spans="28:29" x14ac:dyDescent="0.35">
      <c r="AB280" s="26">
        <v>277</v>
      </c>
      <c r="AC280" s="26">
        <v>2436.75</v>
      </c>
    </row>
    <row r="281" spans="28:29" x14ac:dyDescent="0.35">
      <c r="AB281" s="44">
        <v>278</v>
      </c>
      <c r="AC281" s="26">
        <v>2449.5</v>
      </c>
    </row>
    <row r="282" spans="28:29" x14ac:dyDescent="0.35">
      <c r="AB282" s="26">
        <v>279</v>
      </c>
      <c r="AC282" s="26">
        <v>2462.25</v>
      </c>
    </row>
    <row r="283" spans="28:29" x14ac:dyDescent="0.35">
      <c r="AB283" s="26">
        <v>280</v>
      </c>
      <c r="AC283" s="26">
        <v>2475</v>
      </c>
    </row>
    <row r="284" spans="28:29" x14ac:dyDescent="0.35">
      <c r="AB284" s="44">
        <v>281</v>
      </c>
      <c r="AC284" s="26">
        <v>2488.25</v>
      </c>
    </row>
    <row r="285" spans="28:29" x14ac:dyDescent="0.35">
      <c r="AB285" s="26">
        <v>282</v>
      </c>
      <c r="AC285" s="26">
        <v>2501.5</v>
      </c>
    </row>
    <row r="286" spans="28:29" x14ac:dyDescent="0.35">
      <c r="AB286" s="44">
        <v>283</v>
      </c>
      <c r="AC286" s="26">
        <v>2514.75</v>
      </c>
    </row>
    <row r="287" spans="28:29" x14ac:dyDescent="0.35">
      <c r="AB287" s="26">
        <v>284</v>
      </c>
      <c r="AC287" s="26">
        <v>2528</v>
      </c>
    </row>
    <row r="288" spans="28:29" x14ac:dyDescent="0.35">
      <c r="AB288" s="44">
        <v>285</v>
      </c>
      <c r="AC288" s="26">
        <v>2541</v>
      </c>
    </row>
    <row r="289" spans="28:29" x14ac:dyDescent="0.35">
      <c r="AB289" s="26">
        <v>286</v>
      </c>
      <c r="AC289" s="26">
        <v>2554</v>
      </c>
    </row>
    <row r="290" spans="28:29" x14ac:dyDescent="0.35">
      <c r="AB290" s="26">
        <v>287</v>
      </c>
      <c r="AC290" s="26">
        <v>2567</v>
      </c>
    </row>
    <row r="291" spans="28:29" x14ac:dyDescent="0.35">
      <c r="AB291" s="44">
        <v>288</v>
      </c>
      <c r="AC291" s="26">
        <v>2580</v>
      </c>
    </row>
    <row r="292" spans="28:29" x14ac:dyDescent="0.35">
      <c r="AB292" s="26">
        <v>289</v>
      </c>
      <c r="AC292" s="26">
        <v>2593.25</v>
      </c>
    </row>
    <row r="293" spans="28:29" x14ac:dyDescent="0.35">
      <c r="AB293" s="44">
        <v>290</v>
      </c>
      <c r="AC293" s="26">
        <v>2606.5</v>
      </c>
    </row>
    <row r="294" spans="28:29" x14ac:dyDescent="0.35">
      <c r="AB294" s="26">
        <v>291</v>
      </c>
      <c r="AC294" s="26">
        <v>2619.75</v>
      </c>
    </row>
    <row r="295" spans="28:29" x14ac:dyDescent="0.35">
      <c r="AB295" s="44">
        <v>292</v>
      </c>
      <c r="AC295" s="26">
        <v>2633</v>
      </c>
    </row>
    <row r="296" spans="28:29" x14ac:dyDescent="0.35">
      <c r="AB296" s="26">
        <v>293</v>
      </c>
      <c r="AC296" s="26">
        <v>2646.25</v>
      </c>
    </row>
    <row r="297" spans="28:29" x14ac:dyDescent="0.35">
      <c r="AB297" s="26">
        <v>294</v>
      </c>
      <c r="AC297" s="26">
        <v>2659.5</v>
      </c>
    </row>
    <row r="298" spans="28:29" x14ac:dyDescent="0.35">
      <c r="AB298" s="44">
        <v>295</v>
      </c>
      <c r="AC298" s="26">
        <v>2672.75</v>
      </c>
    </row>
    <row r="299" spans="28:29" x14ac:dyDescent="0.35">
      <c r="AB299" s="26">
        <v>296</v>
      </c>
      <c r="AC299" s="26">
        <v>2686</v>
      </c>
    </row>
    <row r="300" spans="28:29" x14ac:dyDescent="0.35">
      <c r="AB300" s="44">
        <v>297</v>
      </c>
      <c r="AC300" s="26">
        <v>2699.25</v>
      </c>
    </row>
    <row r="301" spans="28:29" x14ac:dyDescent="0.35">
      <c r="AB301" s="26">
        <v>298</v>
      </c>
      <c r="AC301" s="26">
        <v>2712.5</v>
      </c>
    </row>
    <row r="302" spans="28:29" x14ac:dyDescent="0.35">
      <c r="AB302" s="44">
        <v>299</v>
      </c>
      <c r="AC302" s="26">
        <v>2725.75</v>
      </c>
    </row>
    <row r="303" spans="28:29" x14ac:dyDescent="0.35">
      <c r="AB303" s="26">
        <v>300</v>
      </c>
      <c r="AC303" s="26">
        <v>2739</v>
      </c>
    </row>
    <row r="304" spans="28:29" x14ac:dyDescent="0.35">
      <c r="AB304" s="26">
        <v>301</v>
      </c>
      <c r="AC304" s="26">
        <v>2752.5</v>
      </c>
    </row>
    <row r="305" spans="28:29" x14ac:dyDescent="0.35">
      <c r="AB305" s="44">
        <v>302</v>
      </c>
      <c r="AC305" s="26">
        <v>2766</v>
      </c>
    </row>
    <row r="306" spans="28:29" x14ac:dyDescent="0.35">
      <c r="AB306" s="26">
        <v>303</v>
      </c>
      <c r="AC306" s="26">
        <v>2779.5</v>
      </c>
    </row>
    <row r="307" spans="28:29" x14ac:dyDescent="0.35">
      <c r="AB307" s="44">
        <v>304</v>
      </c>
      <c r="AC307" s="26">
        <v>2793</v>
      </c>
    </row>
    <row r="308" spans="28:29" x14ac:dyDescent="0.35">
      <c r="AB308" s="26">
        <v>305</v>
      </c>
      <c r="AC308" s="26">
        <v>2806.5</v>
      </c>
    </row>
    <row r="309" spans="28:29" x14ac:dyDescent="0.35">
      <c r="AB309" s="44">
        <v>306</v>
      </c>
      <c r="AC309" s="26">
        <v>2820</v>
      </c>
    </row>
    <row r="310" spans="28:29" x14ac:dyDescent="0.35">
      <c r="AB310" s="26">
        <v>307</v>
      </c>
      <c r="AC310" s="26">
        <v>2833.5</v>
      </c>
    </row>
    <row r="311" spans="28:29" x14ac:dyDescent="0.35">
      <c r="AB311" s="26">
        <v>308</v>
      </c>
      <c r="AC311" s="26">
        <v>2847</v>
      </c>
    </row>
    <row r="312" spans="28:29" x14ac:dyDescent="0.35">
      <c r="AB312" s="44">
        <v>309</v>
      </c>
      <c r="AC312" s="26">
        <v>2860.5</v>
      </c>
    </row>
    <row r="313" spans="28:29" x14ac:dyDescent="0.35">
      <c r="AB313" s="26">
        <v>310</v>
      </c>
      <c r="AC313" s="26">
        <v>2874</v>
      </c>
    </row>
    <row r="314" spans="28:29" x14ac:dyDescent="0.35">
      <c r="AB314" s="44">
        <v>311</v>
      </c>
      <c r="AC314" s="26">
        <v>2887.5</v>
      </c>
    </row>
    <row r="315" spans="28:29" x14ac:dyDescent="0.35">
      <c r="AB315" s="26">
        <v>312</v>
      </c>
      <c r="AC315" s="26">
        <v>2901</v>
      </c>
    </row>
    <row r="316" spans="28:29" x14ac:dyDescent="0.35">
      <c r="AB316" s="44">
        <v>313</v>
      </c>
      <c r="AC316" s="26">
        <v>2914.75</v>
      </c>
    </row>
    <row r="317" spans="28:29" x14ac:dyDescent="0.35">
      <c r="AB317" s="26">
        <v>314</v>
      </c>
      <c r="AC317" s="26">
        <v>2928.5</v>
      </c>
    </row>
    <row r="318" spans="28:29" x14ac:dyDescent="0.35">
      <c r="AB318" s="26">
        <v>315</v>
      </c>
      <c r="AC318" s="26">
        <v>2942.25</v>
      </c>
    </row>
    <row r="319" spans="28:29" x14ac:dyDescent="0.35">
      <c r="AB319" s="44">
        <v>316</v>
      </c>
      <c r="AC319" s="26">
        <v>2956</v>
      </c>
    </row>
    <row r="320" spans="28:29" x14ac:dyDescent="0.35">
      <c r="AB320" s="26">
        <v>317</v>
      </c>
      <c r="AC320" s="26">
        <v>2969.75</v>
      </c>
    </row>
    <row r="321" spans="28:29" x14ac:dyDescent="0.35">
      <c r="AB321" s="44">
        <v>318</v>
      </c>
      <c r="AC321" s="26">
        <v>2983.5</v>
      </c>
    </row>
    <row r="322" spans="28:29" x14ac:dyDescent="0.35">
      <c r="AB322" s="26">
        <v>319</v>
      </c>
      <c r="AC322" s="26">
        <v>2997.25</v>
      </c>
    </row>
    <row r="323" spans="28:29" x14ac:dyDescent="0.35">
      <c r="AB323" s="44">
        <v>320</v>
      </c>
      <c r="AC323" s="26">
        <v>3011</v>
      </c>
    </row>
    <row r="324" spans="28:29" x14ac:dyDescent="0.35">
      <c r="AB324" s="26">
        <v>321</v>
      </c>
      <c r="AC324" s="26">
        <v>3024.75</v>
      </c>
    </row>
    <row r="325" spans="28:29" x14ac:dyDescent="0.35">
      <c r="AB325" s="26">
        <v>322</v>
      </c>
      <c r="AC325" s="26">
        <v>3038.5</v>
      </c>
    </row>
    <row r="326" spans="28:29" x14ac:dyDescent="0.35">
      <c r="AB326" s="44">
        <v>323</v>
      </c>
      <c r="AC326" s="26">
        <v>3052.25</v>
      </c>
    </row>
    <row r="327" spans="28:29" x14ac:dyDescent="0.35">
      <c r="AB327" s="26">
        <v>324</v>
      </c>
      <c r="AC327" s="26">
        <v>3066</v>
      </c>
    </row>
    <row r="328" spans="28:29" x14ac:dyDescent="0.35">
      <c r="AB328" s="44">
        <v>325</v>
      </c>
      <c r="AC328" s="26">
        <v>3080</v>
      </c>
    </row>
    <row r="329" spans="28:29" x14ac:dyDescent="0.35">
      <c r="AB329" s="26">
        <v>326</v>
      </c>
      <c r="AC329" s="26">
        <v>3094</v>
      </c>
    </row>
    <row r="330" spans="28:29" x14ac:dyDescent="0.35">
      <c r="AB330" s="44">
        <v>327</v>
      </c>
      <c r="AC330" s="26">
        <v>3108</v>
      </c>
    </row>
    <row r="331" spans="28:29" x14ac:dyDescent="0.35">
      <c r="AB331" s="26">
        <v>328</v>
      </c>
      <c r="AC331" s="26">
        <v>3122</v>
      </c>
    </row>
    <row r="332" spans="28:29" x14ac:dyDescent="0.35">
      <c r="AB332" s="26">
        <v>329</v>
      </c>
      <c r="AC332" s="26">
        <v>3136</v>
      </c>
    </row>
    <row r="333" spans="28:29" x14ac:dyDescent="0.35">
      <c r="AB333" s="44">
        <v>330</v>
      </c>
      <c r="AC333" s="26">
        <v>3150</v>
      </c>
    </row>
    <row r="334" spans="28:29" x14ac:dyDescent="0.35">
      <c r="AB334" s="26">
        <v>331</v>
      </c>
      <c r="AC334" s="26">
        <v>3164</v>
      </c>
    </row>
    <row r="335" spans="28:29" x14ac:dyDescent="0.35">
      <c r="AB335" s="44">
        <v>332</v>
      </c>
      <c r="AC335" s="26">
        <v>3178</v>
      </c>
    </row>
    <row r="336" spans="28:29" x14ac:dyDescent="0.35">
      <c r="AB336" s="26">
        <v>333</v>
      </c>
      <c r="AC336" s="26">
        <v>3192</v>
      </c>
    </row>
    <row r="337" spans="28:29" x14ac:dyDescent="0.35">
      <c r="AB337" s="44">
        <v>334</v>
      </c>
      <c r="AC337" s="26">
        <v>3206</v>
      </c>
    </row>
    <row r="338" spans="28:29" x14ac:dyDescent="0.35">
      <c r="AB338" s="26">
        <v>335</v>
      </c>
      <c r="AC338" s="26">
        <v>3220</v>
      </c>
    </row>
    <row r="339" spans="28:29" x14ac:dyDescent="0.35">
      <c r="AB339" s="26">
        <v>336</v>
      </c>
      <c r="AC339" s="26">
        <v>3234</v>
      </c>
    </row>
    <row r="340" spans="28:29" x14ac:dyDescent="0.35">
      <c r="AB340" s="44">
        <v>337</v>
      </c>
      <c r="AC340" s="26">
        <v>3248.25</v>
      </c>
    </row>
    <row r="341" spans="28:29" x14ac:dyDescent="0.35">
      <c r="AB341" s="26">
        <v>338</v>
      </c>
      <c r="AC341" s="26">
        <v>3262.5</v>
      </c>
    </row>
    <row r="342" spans="28:29" x14ac:dyDescent="0.35">
      <c r="AB342" s="44">
        <v>339</v>
      </c>
      <c r="AC342" s="26">
        <v>3276.75</v>
      </c>
    </row>
    <row r="343" spans="28:29" x14ac:dyDescent="0.35">
      <c r="AB343" s="26">
        <v>340</v>
      </c>
      <c r="AC343" s="26">
        <v>3291</v>
      </c>
    </row>
    <row r="344" spans="28:29" x14ac:dyDescent="0.35">
      <c r="AB344" s="44">
        <v>341</v>
      </c>
      <c r="AC344" s="26">
        <v>3305</v>
      </c>
    </row>
    <row r="345" spans="28:29" x14ac:dyDescent="0.35">
      <c r="AB345" s="26">
        <v>342</v>
      </c>
      <c r="AC345" s="26">
        <v>3319</v>
      </c>
    </row>
    <row r="346" spans="28:29" x14ac:dyDescent="0.35">
      <c r="AB346" s="26">
        <v>343</v>
      </c>
      <c r="AC346" s="26">
        <v>3333</v>
      </c>
    </row>
    <row r="347" spans="28:29" x14ac:dyDescent="0.35">
      <c r="AB347" s="44">
        <v>344</v>
      </c>
      <c r="AC347" s="26">
        <v>3347</v>
      </c>
    </row>
    <row r="348" spans="28:29" x14ac:dyDescent="0.35">
      <c r="AB348" s="26">
        <v>345</v>
      </c>
      <c r="AC348" s="26">
        <v>3361.25</v>
      </c>
    </row>
    <row r="349" spans="28:29" x14ac:dyDescent="0.35">
      <c r="AB349" s="44">
        <v>346</v>
      </c>
      <c r="AC349" s="26">
        <v>3375.5</v>
      </c>
    </row>
    <row r="350" spans="28:29" x14ac:dyDescent="0.35">
      <c r="AB350" s="26">
        <v>347</v>
      </c>
      <c r="AC350" s="26">
        <v>3389.75</v>
      </c>
    </row>
    <row r="351" spans="28:29" x14ac:dyDescent="0.35">
      <c r="AB351" s="44">
        <v>348</v>
      </c>
      <c r="AC351" s="26">
        <v>3404</v>
      </c>
    </row>
    <row r="352" spans="28:29" x14ac:dyDescent="0.35">
      <c r="AB352" s="26">
        <v>349</v>
      </c>
      <c r="AC352" s="26">
        <v>3418.5</v>
      </c>
    </row>
    <row r="353" spans="28:29" x14ac:dyDescent="0.35">
      <c r="AB353" s="26">
        <v>350</v>
      </c>
      <c r="AC353" s="26">
        <v>3433</v>
      </c>
    </row>
    <row r="354" spans="28:29" x14ac:dyDescent="0.35">
      <c r="AB354" s="44">
        <v>351</v>
      </c>
      <c r="AC354" s="26">
        <v>3447.5</v>
      </c>
    </row>
    <row r="355" spans="28:29" x14ac:dyDescent="0.35">
      <c r="AB355" s="26">
        <v>352</v>
      </c>
      <c r="AC355" s="26">
        <v>3462</v>
      </c>
    </row>
    <row r="356" spans="28:29" x14ac:dyDescent="0.35">
      <c r="AB356" s="44">
        <v>353</v>
      </c>
      <c r="AC356" s="26">
        <v>3476.25</v>
      </c>
    </row>
    <row r="357" spans="28:29" x14ac:dyDescent="0.35">
      <c r="AB357" s="26">
        <v>354</v>
      </c>
      <c r="AC357" s="26">
        <v>3490.5</v>
      </c>
    </row>
    <row r="358" spans="28:29" x14ac:dyDescent="0.35">
      <c r="AB358" s="44">
        <v>355</v>
      </c>
      <c r="AC358" s="26">
        <v>3504.75</v>
      </c>
    </row>
    <row r="359" spans="28:29" x14ac:dyDescent="0.35">
      <c r="AB359" s="26">
        <v>356</v>
      </c>
      <c r="AC359" s="26">
        <v>3519</v>
      </c>
    </row>
    <row r="360" spans="28:29" x14ac:dyDescent="0.35">
      <c r="AB360" s="26">
        <v>357</v>
      </c>
      <c r="AC360" s="26">
        <v>3533.5</v>
      </c>
    </row>
    <row r="361" spans="28:29" x14ac:dyDescent="0.35">
      <c r="AB361" s="44">
        <v>358</v>
      </c>
      <c r="AC361" s="26">
        <v>3548</v>
      </c>
    </row>
    <row r="362" spans="28:29" x14ac:dyDescent="0.35">
      <c r="AB362" s="26">
        <v>359</v>
      </c>
      <c r="AC362" s="26">
        <v>3562.5</v>
      </c>
    </row>
    <row r="363" spans="28:29" x14ac:dyDescent="0.35">
      <c r="AB363" s="44">
        <v>360</v>
      </c>
      <c r="AC363" s="26">
        <v>3577</v>
      </c>
    </row>
    <row r="364" spans="28:29" x14ac:dyDescent="0.35">
      <c r="AB364" s="26">
        <v>361</v>
      </c>
      <c r="AC364" s="26">
        <v>3591.5</v>
      </c>
    </row>
    <row r="365" spans="28:29" x14ac:dyDescent="0.35">
      <c r="AB365" s="44">
        <v>362</v>
      </c>
      <c r="AC365" s="26">
        <v>3606</v>
      </c>
    </row>
    <row r="366" spans="28:29" x14ac:dyDescent="0.35">
      <c r="AB366" s="26">
        <v>363</v>
      </c>
      <c r="AC366" s="26">
        <v>3620.5</v>
      </c>
    </row>
    <row r="367" spans="28:29" x14ac:dyDescent="0.35">
      <c r="AB367" s="26">
        <v>364</v>
      </c>
      <c r="AC367" s="26">
        <v>3635</v>
      </c>
    </row>
    <row r="368" spans="28:29" x14ac:dyDescent="0.35">
      <c r="AB368" s="44">
        <v>365</v>
      </c>
      <c r="AC368" s="26">
        <v>3649.75</v>
      </c>
    </row>
    <row r="369" spans="28:29" x14ac:dyDescent="0.35">
      <c r="AB369" s="26">
        <v>366</v>
      </c>
      <c r="AC369" s="26">
        <v>3664.5</v>
      </c>
    </row>
    <row r="370" spans="28:29" x14ac:dyDescent="0.35">
      <c r="AB370" s="44">
        <v>367</v>
      </c>
      <c r="AC370" s="26">
        <v>3679.25</v>
      </c>
    </row>
    <row r="371" spans="28:29" x14ac:dyDescent="0.35">
      <c r="AB371" s="26">
        <v>368</v>
      </c>
      <c r="AC371" s="26">
        <v>3694</v>
      </c>
    </row>
    <row r="372" spans="28:29" x14ac:dyDescent="0.35">
      <c r="AB372" s="44">
        <v>369</v>
      </c>
      <c r="AC372" s="26">
        <v>3708.5</v>
      </c>
    </row>
    <row r="373" spans="28:29" x14ac:dyDescent="0.35">
      <c r="AB373" s="26">
        <v>370</v>
      </c>
      <c r="AC373" s="26">
        <v>3723</v>
      </c>
    </row>
    <row r="374" spans="28:29" x14ac:dyDescent="0.35">
      <c r="AB374" s="26">
        <v>371</v>
      </c>
      <c r="AC374" s="26">
        <v>3737.5</v>
      </c>
    </row>
    <row r="375" spans="28:29" x14ac:dyDescent="0.35">
      <c r="AB375" s="44">
        <v>372</v>
      </c>
      <c r="AC375" s="26">
        <v>3752</v>
      </c>
    </row>
    <row r="376" spans="28:29" x14ac:dyDescent="0.35">
      <c r="AB376" s="26">
        <v>373</v>
      </c>
      <c r="AC376" s="26">
        <v>3766.75</v>
      </c>
    </row>
    <row r="377" spans="28:29" x14ac:dyDescent="0.35">
      <c r="AB377" s="44">
        <v>374</v>
      </c>
      <c r="AC377" s="26">
        <v>3781.5</v>
      </c>
    </row>
    <row r="378" spans="28:29" x14ac:dyDescent="0.35">
      <c r="AB378" s="26">
        <v>375</v>
      </c>
      <c r="AC378" s="26">
        <v>3796.25</v>
      </c>
    </row>
    <row r="379" spans="28:29" x14ac:dyDescent="0.35">
      <c r="AB379" s="44">
        <v>376</v>
      </c>
      <c r="AC379" s="26">
        <v>3811</v>
      </c>
    </row>
    <row r="380" spans="28:29" x14ac:dyDescent="0.35">
      <c r="AB380" s="26">
        <v>377</v>
      </c>
      <c r="AC380" s="26">
        <v>3825.75</v>
      </c>
    </row>
    <row r="381" spans="28:29" x14ac:dyDescent="0.35">
      <c r="AB381" s="26">
        <v>378</v>
      </c>
      <c r="AC381" s="26">
        <v>3840.5</v>
      </c>
    </row>
    <row r="382" spans="28:29" x14ac:dyDescent="0.35">
      <c r="AB382" s="44">
        <v>379</v>
      </c>
      <c r="AC382" s="26">
        <v>3855.25</v>
      </c>
    </row>
    <row r="383" spans="28:29" x14ac:dyDescent="0.35">
      <c r="AB383" s="26">
        <v>380</v>
      </c>
      <c r="AC383" s="26">
        <v>3870</v>
      </c>
    </row>
    <row r="384" spans="28:29" x14ac:dyDescent="0.35">
      <c r="AB384" s="44">
        <v>381</v>
      </c>
      <c r="AC384" s="26">
        <v>3885</v>
      </c>
    </row>
    <row r="385" spans="28:29" x14ac:dyDescent="0.35">
      <c r="AB385" s="26">
        <v>382</v>
      </c>
      <c r="AC385" s="26">
        <v>3900</v>
      </c>
    </row>
    <row r="386" spans="28:29" x14ac:dyDescent="0.35">
      <c r="AB386" s="44">
        <v>383</v>
      </c>
      <c r="AC386" s="26">
        <v>3915</v>
      </c>
    </row>
    <row r="387" spans="28:29" x14ac:dyDescent="0.35">
      <c r="AB387" s="26">
        <v>384</v>
      </c>
      <c r="AC387" s="26">
        <v>3930</v>
      </c>
    </row>
    <row r="388" spans="28:29" x14ac:dyDescent="0.35">
      <c r="AB388" s="26">
        <v>385</v>
      </c>
      <c r="AC388" s="26">
        <v>3945</v>
      </c>
    </row>
    <row r="389" spans="28:29" x14ac:dyDescent="0.35">
      <c r="AB389" s="44">
        <v>386</v>
      </c>
      <c r="AC389" s="26">
        <v>3960</v>
      </c>
    </row>
    <row r="390" spans="28:29" x14ac:dyDescent="0.35">
      <c r="AB390" s="26">
        <v>387</v>
      </c>
      <c r="AC390" s="26">
        <v>3975</v>
      </c>
    </row>
    <row r="391" spans="28:29" x14ac:dyDescent="0.35">
      <c r="AB391" s="44">
        <v>388</v>
      </c>
      <c r="AC391" s="26">
        <v>3990</v>
      </c>
    </row>
    <row r="392" spans="28:29" x14ac:dyDescent="0.35">
      <c r="AB392" s="26">
        <v>389</v>
      </c>
      <c r="AC392" s="26">
        <v>4005</v>
      </c>
    </row>
    <row r="393" spans="28:29" x14ac:dyDescent="0.35">
      <c r="AB393" s="44">
        <v>390</v>
      </c>
      <c r="AC393" s="26">
        <v>4020</v>
      </c>
    </row>
    <row r="394" spans="28:29" x14ac:dyDescent="0.35">
      <c r="AB394" s="26">
        <v>391</v>
      </c>
      <c r="AC394" s="26">
        <v>4035</v>
      </c>
    </row>
    <row r="395" spans="28:29" x14ac:dyDescent="0.35">
      <c r="AB395" s="26">
        <v>392</v>
      </c>
      <c r="AC395" s="26">
        <v>4050</v>
      </c>
    </row>
    <row r="396" spans="28:29" x14ac:dyDescent="0.35">
      <c r="AB396" s="44">
        <v>393</v>
      </c>
      <c r="AC396" s="26">
        <v>4065</v>
      </c>
    </row>
    <row r="397" spans="28:29" x14ac:dyDescent="0.35">
      <c r="AB397" s="26">
        <v>394</v>
      </c>
      <c r="AC397" s="26">
        <v>4080</v>
      </c>
    </row>
    <row r="398" spans="28:29" x14ac:dyDescent="0.35">
      <c r="AB398" s="44">
        <v>395</v>
      </c>
      <c r="AC398" s="26">
        <v>4095</v>
      </c>
    </row>
    <row r="399" spans="28:29" x14ac:dyDescent="0.35">
      <c r="AB399" s="26">
        <v>396</v>
      </c>
      <c r="AC399" s="26">
        <v>4110</v>
      </c>
    </row>
    <row r="400" spans="28:29" x14ac:dyDescent="0.35">
      <c r="AB400" s="44">
        <v>397</v>
      </c>
      <c r="AC400" s="26">
        <v>4125.25</v>
      </c>
    </row>
    <row r="401" spans="28:29" x14ac:dyDescent="0.35">
      <c r="AB401" s="26">
        <v>398</v>
      </c>
      <c r="AC401" s="26">
        <v>4140.5</v>
      </c>
    </row>
    <row r="402" spans="28:29" x14ac:dyDescent="0.35">
      <c r="AB402" s="26">
        <v>399</v>
      </c>
      <c r="AC402" s="26">
        <v>4155.75</v>
      </c>
    </row>
    <row r="403" spans="28:29" x14ac:dyDescent="0.35">
      <c r="AB403" s="44">
        <v>400</v>
      </c>
      <c r="AC403" s="26">
        <v>4171</v>
      </c>
    </row>
    <row r="404" spans="28:29" x14ac:dyDescent="0.35">
      <c r="AB404" s="26">
        <v>401</v>
      </c>
      <c r="AC404" s="26">
        <v>4186</v>
      </c>
    </row>
    <row r="405" spans="28:29" x14ac:dyDescent="0.35">
      <c r="AB405" s="44">
        <v>402</v>
      </c>
      <c r="AC405" s="26">
        <v>4201</v>
      </c>
    </row>
    <row r="406" spans="28:29" x14ac:dyDescent="0.35">
      <c r="AB406" s="26">
        <v>403</v>
      </c>
      <c r="AC406" s="26">
        <v>4216</v>
      </c>
    </row>
    <row r="407" spans="28:29" x14ac:dyDescent="0.35">
      <c r="AB407" s="44">
        <v>404</v>
      </c>
      <c r="AC407" s="26">
        <v>4231</v>
      </c>
    </row>
    <row r="408" spans="28:29" x14ac:dyDescent="0.35">
      <c r="AB408" s="26">
        <v>405</v>
      </c>
      <c r="AC408" s="26">
        <v>4246.25</v>
      </c>
    </row>
    <row r="409" spans="28:29" x14ac:dyDescent="0.35">
      <c r="AB409" s="26">
        <v>406</v>
      </c>
      <c r="AC409" s="26">
        <v>4261.5</v>
      </c>
    </row>
    <row r="410" spans="28:29" x14ac:dyDescent="0.35">
      <c r="AB410" s="44">
        <v>407</v>
      </c>
      <c r="AC410" s="26">
        <v>4276.75</v>
      </c>
    </row>
    <row r="411" spans="28:29" x14ac:dyDescent="0.35">
      <c r="AB411" s="26">
        <v>408</v>
      </c>
      <c r="AC411" s="26">
        <v>4292</v>
      </c>
    </row>
    <row r="412" spans="28:29" x14ac:dyDescent="0.35">
      <c r="AB412" s="44">
        <v>409</v>
      </c>
      <c r="AC412" s="26">
        <v>4307.5</v>
      </c>
    </row>
    <row r="413" spans="28:29" x14ac:dyDescent="0.35">
      <c r="AB413" s="26">
        <v>410</v>
      </c>
      <c r="AC413" s="26">
        <v>4323</v>
      </c>
    </row>
    <row r="414" spans="28:29" x14ac:dyDescent="0.35">
      <c r="AB414" s="44">
        <v>411</v>
      </c>
      <c r="AC414" s="26">
        <v>4338.5</v>
      </c>
    </row>
    <row r="415" spans="28:29" x14ac:dyDescent="0.35">
      <c r="AB415" s="26">
        <v>412</v>
      </c>
      <c r="AC415" s="26">
        <v>4354</v>
      </c>
    </row>
    <row r="416" spans="28:29" x14ac:dyDescent="0.35">
      <c r="AB416" s="26">
        <v>413</v>
      </c>
      <c r="AC416" s="26">
        <v>4369.25</v>
      </c>
    </row>
    <row r="417" spans="28:29" x14ac:dyDescent="0.35">
      <c r="AB417" s="44">
        <v>414</v>
      </c>
      <c r="AC417" s="26">
        <v>4384.5</v>
      </c>
    </row>
    <row r="418" spans="28:29" x14ac:dyDescent="0.35">
      <c r="AB418" s="26">
        <v>415</v>
      </c>
      <c r="AC418" s="26">
        <v>4399.75</v>
      </c>
    </row>
    <row r="419" spans="28:29" x14ac:dyDescent="0.35">
      <c r="AB419" s="44">
        <v>416</v>
      </c>
      <c r="AC419" s="26">
        <v>4415</v>
      </c>
    </row>
    <row r="420" spans="28:29" x14ac:dyDescent="0.35">
      <c r="AB420" s="26">
        <v>417</v>
      </c>
      <c r="AC420" s="26">
        <v>4430.5</v>
      </c>
    </row>
    <row r="421" spans="28:29" x14ac:dyDescent="0.35">
      <c r="AB421" s="44">
        <v>418</v>
      </c>
      <c r="AC421" s="26">
        <v>4446</v>
      </c>
    </row>
    <row r="422" spans="28:29" x14ac:dyDescent="0.35">
      <c r="AB422" s="26">
        <v>419</v>
      </c>
      <c r="AC422" s="26">
        <v>4461.5</v>
      </c>
    </row>
    <row r="423" spans="28:29" x14ac:dyDescent="0.35">
      <c r="AB423" s="26">
        <v>420</v>
      </c>
      <c r="AC423" s="26">
        <v>4477</v>
      </c>
    </row>
    <row r="424" spans="28:29" x14ac:dyDescent="0.35">
      <c r="AB424" s="44">
        <v>421</v>
      </c>
      <c r="AC424" s="26">
        <v>4492.5</v>
      </c>
    </row>
    <row r="425" spans="28:29" x14ac:dyDescent="0.35">
      <c r="AB425" s="26">
        <v>422</v>
      </c>
      <c r="AC425" s="26">
        <v>4508</v>
      </c>
    </row>
    <row r="426" spans="28:29" x14ac:dyDescent="0.35">
      <c r="AB426" s="44">
        <v>423</v>
      </c>
      <c r="AC426" s="26">
        <v>4523.5</v>
      </c>
    </row>
    <row r="427" spans="28:29" x14ac:dyDescent="0.35">
      <c r="AB427" s="26">
        <v>424</v>
      </c>
      <c r="AC427" s="26">
        <v>4539</v>
      </c>
    </row>
    <row r="428" spans="28:29" x14ac:dyDescent="0.35">
      <c r="AB428" s="44">
        <v>425</v>
      </c>
      <c r="AC428" s="26">
        <v>4554.5</v>
      </c>
    </row>
    <row r="429" spans="28:29" x14ac:dyDescent="0.35">
      <c r="AB429" s="26">
        <v>426</v>
      </c>
      <c r="AC429" s="26">
        <v>4570</v>
      </c>
    </row>
    <row r="430" spans="28:29" x14ac:dyDescent="0.35">
      <c r="AB430" s="26">
        <v>427</v>
      </c>
      <c r="AC430" s="26">
        <v>4585.5</v>
      </c>
    </row>
    <row r="431" spans="28:29" x14ac:dyDescent="0.35">
      <c r="AB431" s="44">
        <v>428</v>
      </c>
      <c r="AC431" s="26">
        <v>4601</v>
      </c>
    </row>
    <row r="432" spans="28:29" x14ac:dyDescent="0.35">
      <c r="AB432" s="26">
        <v>429</v>
      </c>
      <c r="AC432" s="26">
        <v>4616.75</v>
      </c>
    </row>
    <row r="433" spans="28:29" x14ac:dyDescent="0.35">
      <c r="AB433" s="44">
        <v>430</v>
      </c>
      <c r="AC433" s="26">
        <v>4632.5</v>
      </c>
    </row>
    <row r="434" spans="28:29" x14ac:dyDescent="0.35">
      <c r="AB434" s="26">
        <v>431</v>
      </c>
      <c r="AC434" s="26">
        <v>4648.25</v>
      </c>
    </row>
    <row r="435" spans="28:29" x14ac:dyDescent="0.35">
      <c r="AB435" s="44">
        <v>432</v>
      </c>
      <c r="AC435" s="26">
        <v>4664</v>
      </c>
    </row>
    <row r="436" spans="28:29" x14ac:dyDescent="0.35">
      <c r="AB436" s="26">
        <v>433</v>
      </c>
      <c r="AC436" s="26">
        <v>4679.5</v>
      </c>
    </row>
    <row r="437" spans="28:29" x14ac:dyDescent="0.35">
      <c r="AB437" s="26">
        <v>434</v>
      </c>
      <c r="AC437" s="26">
        <v>4695</v>
      </c>
    </row>
    <row r="438" spans="28:29" x14ac:dyDescent="0.35">
      <c r="AB438" s="44">
        <v>435</v>
      </c>
      <c r="AC438" s="26">
        <v>4710.5</v>
      </c>
    </row>
    <row r="439" spans="28:29" x14ac:dyDescent="0.35">
      <c r="AB439" s="26">
        <v>436</v>
      </c>
      <c r="AC439" s="26">
        <v>4726</v>
      </c>
    </row>
    <row r="440" spans="28:29" x14ac:dyDescent="0.35">
      <c r="AB440" s="44">
        <v>437</v>
      </c>
      <c r="AC440" s="26">
        <v>4741.75</v>
      </c>
    </row>
    <row r="441" spans="28:29" x14ac:dyDescent="0.35">
      <c r="AB441" s="26">
        <v>438</v>
      </c>
      <c r="AC441" s="26">
        <v>4757.5</v>
      </c>
    </row>
    <row r="442" spans="28:29" x14ac:dyDescent="0.35">
      <c r="AB442" s="44">
        <v>439</v>
      </c>
      <c r="AC442" s="26">
        <v>4773.25</v>
      </c>
    </row>
    <row r="443" spans="28:29" x14ac:dyDescent="0.35">
      <c r="AB443" s="26">
        <v>440</v>
      </c>
      <c r="AC443" s="26">
        <v>4789</v>
      </c>
    </row>
    <row r="444" spans="28:29" x14ac:dyDescent="0.35">
      <c r="AB444" s="26">
        <v>441</v>
      </c>
      <c r="AC444" s="26">
        <v>4805</v>
      </c>
    </row>
    <row r="445" spans="28:29" x14ac:dyDescent="0.35">
      <c r="AB445" s="44">
        <v>442</v>
      </c>
      <c r="AC445" s="26">
        <v>4821</v>
      </c>
    </row>
    <row r="446" spans="28:29" x14ac:dyDescent="0.35">
      <c r="AB446" s="26">
        <v>443</v>
      </c>
      <c r="AC446" s="26">
        <v>4837</v>
      </c>
    </row>
    <row r="447" spans="28:29" x14ac:dyDescent="0.35">
      <c r="AB447" s="44">
        <v>444</v>
      </c>
      <c r="AC447" s="26">
        <v>4853</v>
      </c>
    </row>
    <row r="448" spans="28:29" x14ac:dyDescent="0.35">
      <c r="AB448" s="26">
        <v>445</v>
      </c>
      <c r="AC448" s="26">
        <v>4868.75</v>
      </c>
    </row>
    <row r="449" spans="28:29" x14ac:dyDescent="0.35">
      <c r="AB449" s="44">
        <v>446</v>
      </c>
      <c r="AC449" s="26">
        <v>4884.5</v>
      </c>
    </row>
    <row r="450" spans="28:29" x14ac:dyDescent="0.35">
      <c r="AB450" s="26">
        <v>447</v>
      </c>
      <c r="AC450" s="26">
        <v>4900.25</v>
      </c>
    </row>
    <row r="451" spans="28:29" x14ac:dyDescent="0.35">
      <c r="AB451" s="26">
        <v>448</v>
      </c>
      <c r="AC451" s="26">
        <v>4916</v>
      </c>
    </row>
    <row r="452" spans="28:29" x14ac:dyDescent="0.35">
      <c r="AB452" s="44">
        <v>449</v>
      </c>
      <c r="AC452" s="26">
        <v>4932</v>
      </c>
    </row>
    <row r="453" spans="28:29" x14ac:dyDescent="0.35">
      <c r="AB453" s="26">
        <v>450</v>
      </c>
      <c r="AC453" s="26">
        <v>4948</v>
      </c>
    </row>
    <row r="454" spans="28:29" x14ac:dyDescent="0.35">
      <c r="AB454" s="44">
        <v>451</v>
      </c>
      <c r="AC454" s="26">
        <v>4964</v>
      </c>
    </row>
    <row r="455" spans="28:29" x14ac:dyDescent="0.35">
      <c r="AB455" s="26">
        <v>452</v>
      </c>
      <c r="AC455" s="26">
        <v>4980</v>
      </c>
    </row>
    <row r="456" spans="28:29" x14ac:dyDescent="0.35">
      <c r="AB456" s="44">
        <v>453</v>
      </c>
      <c r="AC456" s="26">
        <v>4996</v>
      </c>
    </row>
    <row r="457" spans="28:29" x14ac:dyDescent="0.35">
      <c r="AB457" s="26">
        <v>454</v>
      </c>
      <c r="AC457" s="26">
        <v>5012</v>
      </c>
    </row>
    <row r="458" spans="28:29" x14ac:dyDescent="0.35">
      <c r="AB458" s="26">
        <v>455</v>
      </c>
      <c r="AC458" s="26">
        <v>5028</v>
      </c>
    </row>
    <row r="459" spans="28:29" x14ac:dyDescent="0.35">
      <c r="AB459" s="44">
        <v>456</v>
      </c>
      <c r="AC459" s="26">
        <v>5044</v>
      </c>
    </row>
    <row r="460" spans="28:29" x14ac:dyDescent="0.35">
      <c r="AB460" s="26">
        <v>457</v>
      </c>
      <c r="AC460" s="26">
        <v>5060</v>
      </c>
    </row>
    <row r="461" spans="28:29" x14ac:dyDescent="0.35">
      <c r="AB461" s="44">
        <v>458</v>
      </c>
      <c r="AC461" s="26">
        <v>5076</v>
      </c>
    </row>
    <row r="462" spans="28:29" x14ac:dyDescent="0.35">
      <c r="AB462" s="26">
        <v>459</v>
      </c>
      <c r="AC462" s="26">
        <v>5092</v>
      </c>
    </row>
    <row r="463" spans="28:29" x14ac:dyDescent="0.35">
      <c r="AB463" s="44">
        <v>460</v>
      </c>
      <c r="AC463" s="26">
        <v>5108</v>
      </c>
    </row>
    <row r="464" spans="28:29" x14ac:dyDescent="0.35">
      <c r="AB464" s="26">
        <v>461</v>
      </c>
      <c r="AC464" s="26">
        <v>5124</v>
      </c>
    </row>
    <row r="465" spans="28:29" x14ac:dyDescent="0.35">
      <c r="AB465" s="26">
        <v>462</v>
      </c>
      <c r="AC465" s="26">
        <v>5140</v>
      </c>
    </row>
    <row r="466" spans="28:29" x14ac:dyDescent="0.35">
      <c r="AB466" s="44">
        <v>463</v>
      </c>
      <c r="AC466" s="26">
        <v>5156</v>
      </c>
    </row>
    <row r="467" spans="28:29" x14ac:dyDescent="0.35">
      <c r="AB467" s="26">
        <v>464</v>
      </c>
      <c r="AC467" s="26">
        <v>5172</v>
      </c>
    </row>
    <row r="468" spans="28:29" x14ac:dyDescent="0.35">
      <c r="AB468" s="44">
        <v>465</v>
      </c>
      <c r="AC468" s="26">
        <v>5188.25</v>
      </c>
    </row>
    <row r="469" spans="28:29" x14ac:dyDescent="0.35">
      <c r="AB469" s="26">
        <v>466</v>
      </c>
      <c r="AC469" s="26">
        <v>5204.5</v>
      </c>
    </row>
    <row r="470" spans="28:29" x14ac:dyDescent="0.35">
      <c r="AB470" s="44">
        <v>467</v>
      </c>
      <c r="AC470" s="26">
        <v>5220.75</v>
      </c>
    </row>
    <row r="471" spans="28:29" x14ac:dyDescent="0.35">
      <c r="AB471" s="26">
        <v>468</v>
      </c>
      <c r="AC471" s="26">
        <v>5237</v>
      </c>
    </row>
    <row r="472" spans="28:29" x14ac:dyDescent="0.35">
      <c r="AB472" s="26">
        <v>469</v>
      </c>
      <c r="AC472" s="26">
        <v>5253</v>
      </c>
    </row>
    <row r="473" spans="28:29" x14ac:dyDescent="0.35">
      <c r="AB473" s="44">
        <v>470</v>
      </c>
      <c r="AC473" s="26">
        <v>5269</v>
      </c>
    </row>
    <row r="474" spans="28:29" x14ac:dyDescent="0.35">
      <c r="AB474" s="26">
        <v>471</v>
      </c>
      <c r="AC474" s="26">
        <v>5285</v>
      </c>
    </row>
    <row r="475" spans="28:29" x14ac:dyDescent="0.35">
      <c r="AB475" s="44">
        <v>472</v>
      </c>
      <c r="AC475" s="26">
        <v>5301</v>
      </c>
    </row>
    <row r="476" spans="28:29" x14ac:dyDescent="0.35">
      <c r="AB476" s="26">
        <v>473</v>
      </c>
      <c r="AC476" s="26">
        <v>5317.25</v>
      </c>
    </row>
    <row r="477" spans="28:29" x14ac:dyDescent="0.35">
      <c r="AB477" s="44">
        <v>474</v>
      </c>
      <c r="AC477" s="26">
        <v>5333.5</v>
      </c>
    </row>
    <row r="478" spans="28:29" x14ac:dyDescent="0.35">
      <c r="AB478" s="26">
        <v>475</v>
      </c>
      <c r="AC478" s="26">
        <v>5349.75</v>
      </c>
    </row>
    <row r="479" spans="28:29" x14ac:dyDescent="0.35">
      <c r="AB479" s="26">
        <v>476</v>
      </c>
      <c r="AC479" s="26">
        <v>5366</v>
      </c>
    </row>
    <row r="480" spans="28:29" x14ac:dyDescent="0.35">
      <c r="AB480" s="44">
        <v>477</v>
      </c>
      <c r="AC480" s="26">
        <v>5382.5</v>
      </c>
    </row>
    <row r="481" spans="28:29" x14ac:dyDescent="0.35">
      <c r="AB481" s="26">
        <v>478</v>
      </c>
      <c r="AC481" s="26">
        <v>5399</v>
      </c>
    </row>
    <row r="482" spans="28:29" x14ac:dyDescent="0.35">
      <c r="AB482" s="44">
        <v>479</v>
      </c>
      <c r="AC482" s="26">
        <v>5415.5</v>
      </c>
    </row>
    <row r="483" spans="28:29" x14ac:dyDescent="0.35">
      <c r="AB483" s="26">
        <v>480</v>
      </c>
      <c r="AC483" s="26">
        <v>5432</v>
      </c>
    </row>
    <row r="484" spans="28:29" x14ac:dyDescent="0.35">
      <c r="AB484" s="44">
        <v>481</v>
      </c>
      <c r="AC484" s="26">
        <v>5448.25</v>
      </c>
    </row>
    <row r="485" spans="28:29" x14ac:dyDescent="0.35">
      <c r="AB485" s="26">
        <v>482</v>
      </c>
      <c r="AC485" s="26">
        <v>5464.5</v>
      </c>
    </row>
    <row r="486" spans="28:29" x14ac:dyDescent="0.35">
      <c r="AB486" s="26">
        <v>483</v>
      </c>
      <c r="AC486" s="26">
        <v>5480.75</v>
      </c>
    </row>
    <row r="487" spans="28:29" x14ac:dyDescent="0.35">
      <c r="AB487" s="44">
        <v>484</v>
      </c>
      <c r="AC487" s="26">
        <v>5497</v>
      </c>
    </row>
    <row r="488" spans="28:29" x14ac:dyDescent="0.35">
      <c r="AB488" s="26">
        <v>485</v>
      </c>
      <c r="AC488" s="26">
        <v>5513.5</v>
      </c>
    </row>
    <row r="489" spans="28:29" x14ac:dyDescent="0.35">
      <c r="AB489" s="44">
        <v>486</v>
      </c>
      <c r="AC489" s="26">
        <v>5530</v>
      </c>
    </row>
    <row r="490" spans="28:29" x14ac:dyDescent="0.35">
      <c r="AB490" s="26">
        <v>487</v>
      </c>
      <c r="AC490" s="26">
        <v>5546.5</v>
      </c>
    </row>
    <row r="491" spans="28:29" x14ac:dyDescent="0.35">
      <c r="AB491" s="44">
        <v>488</v>
      </c>
      <c r="AC491" s="26">
        <v>5563</v>
      </c>
    </row>
    <row r="492" spans="28:29" x14ac:dyDescent="0.35">
      <c r="AB492" s="26">
        <v>489</v>
      </c>
      <c r="AC492" s="26">
        <v>5579.25</v>
      </c>
    </row>
    <row r="493" spans="28:29" x14ac:dyDescent="0.35">
      <c r="AB493" s="26">
        <v>490</v>
      </c>
      <c r="AC493" s="26">
        <v>5595.5</v>
      </c>
    </row>
    <row r="494" spans="28:29" x14ac:dyDescent="0.35">
      <c r="AB494" s="44">
        <v>491</v>
      </c>
      <c r="AC494" s="26">
        <v>5611.75</v>
      </c>
    </row>
    <row r="495" spans="28:29" x14ac:dyDescent="0.35">
      <c r="AB495" s="26">
        <v>492</v>
      </c>
      <c r="AC495" s="26">
        <v>5628</v>
      </c>
    </row>
    <row r="496" spans="28:29" x14ac:dyDescent="0.35">
      <c r="AB496" s="44">
        <v>493</v>
      </c>
      <c r="AC496" s="26">
        <v>5644.75</v>
      </c>
    </row>
    <row r="497" spans="28:29" x14ac:dyDescent="0.35">
      <c r="AB497" s="26">
        <v>494</v>
      </c>
      <c r="AC497" s="26">
        <v>5661.5</v>
      </c>
    </row>
    <row r="498" spans="28:29" x14ac:dyDescent="0.35">
      <c r="AB498" s="44">
        <v>495</v>
      </c>
      <c r="AC498" s="26">
        <v>5678.25</v>
      </c>
    </row>
    <row r="499" spans="28:29" x14ac:dyDescent="0.35">
      <c r="AB499" s="26">
        <v>496</v>
      </c>
      <c r="AC499" s="26">
        <v>5695</v>
      </c>
    </row>
    <row r="500" spans="28:29" x14ac:dyDescent="0.35">
      <c r="AB500" s="26">
        <v>497</v>
      </c>
      <c r="AC500" s="26">
        <v>5711.5</v>
      </c>
    </row>
    <row r="501" spans="28:29" x14ac:dyDescent="0.35">
      <c r="AB501" s="44">
        <v>498</v>
      </c>
      <c r="AC501" s="26">
        <v>5728</v>
      </c>
    </row>
    <row r="502" spans="28:29" x14ac:dyDescent="0.35">
      <c r="AB502" s="26">
        <v>499</v>
      </c>
      <c r="AC502" s="26">
        <v>5744.5</v>
      </c>
    </row>
    <row r="503" spans="28:29" x14ac:dyDescent="0.35">
      <c r="AB503" s="44">
        <v>500</v>
      </c>
      <c r="AC503" s="26">
        <v>5761</v>
      </c>
    </row>
    <row r="504" spans="28:29" x14ac:dyDescent="0.35">
      <c r="AB504" s="26">
        <v>501</v>
      </c>
      <c r="AC504" s="26">
        <v>5777.5</v>
      </c>
    </row>
    <row r="505" spans="28:29" x14ac:dyDescent="0.35">
      <c r="AB505" s="44">
        <v>502</v>
      </c>
      <c r="AC505" s="26">
        <v>5794</v>
      </c>
    </row>
    <row r="506" spans="28:29" x14ac:dyDescent="0.35">
      <c r="AB506" s="26">
        <v>503</v>
      </c>
      <c r="AC506" s="26">
        <v>5810.5</v>
      </c>
    </row>
    <row r="507" spans="28:29" x14ac:dyDescent="0.35">
      <c r="AB507" s="26">
        <v>504</v>
      </c>
      <c r="AC507" s="26">
        <v>5827</v>
      </c>
    </row>
    <row r="508" spans="28:29" x14ac:dyDescent="0.35">
      <c r="AB508" s="44">
        <v>505</v>
      </c>
      <c r="AC508" s="26">
        <v>5843.75</v>
      </c>
    </row>
    <row r="509" spans="28:29" x14ac:dyDescent="0.35">
      <c r="AB509" s="26">
        <v>506</v>
      </c>
      <c r="AC509" s="26">
        <v>5860.5</v>
      </c>
    </row>
    <row r="510" spans="28:29" x14ac:dyDescent="0.35">
      <c r="AB510" s="44">
        <v>507</v>
      </c>
      <c r="AC510" s="26">
        <v>5877.25</v>
      </c>
    </row>
    <row r="511" spans="28:29" x14ac:dyDescent="0.35">
      <c r="AB511" s="26">
        <v>508</v>
      </c>
      <c r="AC511" s="26">
        <v>5894</v>
      </c>
    </row>
    <row r="512" spans="28:29" x14ac:dyDescent="0.35">
      <c r="AB512" s="44">
        <v>509</v>
      </c>
      <c r="AC512" s="26">
        <v>5910.75</v>
      </c>
    </row>
    <row r="513" spans="28:29" x14ac:dyDescent="0.35">
      <c r="AB513" s="26">
        <v>510</v>
      </c>
      <c r="AC513" s="26">
        <v>5927.5</v>
      </c>
    </row>
    <row r="514" spans="28:29" x14ac:dyDescent="0.35">
      <c r="AB514" s="26">
        <v>511</v>
      </c>
      <c r="AC514" s="26">
        <v>5944.25</v>
      </c>
    </row>
    <row r="515" spans="28:29" x14ac:dyDescent="0.35">
      <c r="AB515" s="44">
        <v>512</v>
      </c>
      <c r="AC515" s="26">
        <v>5961</v>
      </c>
    </row>
    <row r="516" spans="28:29" x14ac:dyDescent="0.35">
      <c r="AB516" s="26">
        <v>513</v>
      </c>
      <c r="AC516" s="26">
        <v>5977.75</v>
      </c>
    </row>
    <row r="517" spans="28:29" x14ac:dyDescent="0.35">
      <c r="AB517" s="44">
        <v>514</v>
      </c>
      <c r="AC517" s="26">
        <v>5994.5</v>
      </c>
    </row>
    <row r="518" spans="28:29" x14ac:dyDescent="0.35">
      <c r="AB518" s="26">
        <v>515</v>
      </c>
      <c r="AC518" s="26">
        <v>6011.25</v>
      </c>
    </row>
    <row r="519" spans="28:29" x14ac:dyDescent="0.35">
      <c r="AB519" s="44">
        <v>516</v>
      </c>
      <c r="AC519" s="26">
        <v>6028</v>
      </c>
    </row>
    <row r="520" spans="28:29" x14ac:dyDescent="0.35">
      <c r="AB520" s="26">
        <v>517</v>
      </c>
      <c r="AC520" s="26">
        <v>6044.75</v>
      </c>
    </row>
    <row r="521" spans="28:29" x14ac:dyDescent="0.35">
      <c r="AB521" s="26">
        <v>518</v>
      </c>
      <c r="AC521" s="26">
        <v>6061.5</v>
      </c>
    </row>
    <row r="522" spans="28:29" x14ac:dyDescent="0.35">
      <c r="AB522" s="44">
        <v>519</v>
      </c>
      <c r="AC522" s="26">
        <v>6078.25</v>
      </c>
    </row>
    <row r="523" spans="28:29" x14ac:dyDescent="0.35">
      <c r="AB523" s="26">
        <v>520</v>
      </c>
      <c r="AC523" s="26">
        <v>6095</v>
      </c>
    </row>
    <row r="524" spans="28:29" x14ac:dyDescent="0.35">
      <c r="AB524" s="44">
        <v>521</v>
      </c>
      <c r="AC524" s="26">
        <v>6112</v>
      </c>
    </row>
    <row r="525" spans="28:29" x14ac:dyDescent="0.35">
      <c r="AB525" s="26">
        <v>522</v>
      </c>
      <c r="AC525" s="26">
        <v>6129</v>
      </c>
    </row>
    <row r="526" spans="28:29" x14ac:dyDescent="0.35">
      <c r="AB526" s="44">
        <v>523</v>
      </c>
      <c r="AC526" s="26">
        <v>6146</v>
      </c>
    </row>
    <row r="527" spans="28:29" x14ac:dyDescent="0.35">
      <c r="AB527" s="26">
        <v>524</v>
      </c>
      <c r="AC527" s="26">
        <v>6163</v>
      </c>
    </row>
    <row r="528" spans="28:29" x14ac:dyDescent="0.35">
      <c r="AB528" s="26">
        <v>525</v>
      </c>
      <c r="AC528" s="26">
        <v>6180</v>
      </c>
    </row>
    <row r="529" spans="28:29" x14ac:dyDescent="0.35">
      <c r="AB529" s="44">
        <v>526</v>
      </c>
      <c r="AC529" s="26">
        <v>6197</v>
      </c>
    </row>
    <row r="530" spans="28:29" x14ac:dyDescent="0.35">
      <c r="AB530" s="26">
        <v>527</v>
      </c>
      <c r="AC530" s="26">
        <v>6214</v>
      </c>
    </row>
    <row r="531" spans="28:29" x14ac:dyDescent="0.35">
      <c r="AB531" s="44">
        <v>528</v>
      </c>
      <c r="AC531" s="26">
        <v>6231</v>
      </c>
    </row>
    <row r="532" spans="28:29" x14ac:dyDescent="0.35">
      <c r="AB532" s="26">
        <v>529</v>
      </c>
      <c r="AC532" s="26">
        <v>6247.75</v>
      </c>
    </row>
    <row r="533" spans="28:29" x14ac:dyDescent="0.35">
      <c r="AB533" s="44">
        <v>530</v>
      </c>
      <c r="AC533" s="26">
        <v>6264.5</v>
      </c>
    </row>
    <row r="534" spans="28:29" x14ac:dyDescent="0.35">
      <c r="AB534" s="26">
        <v>531</v>
      </c>
      <c r="AC534" s="26">
        <v>6281.25</v>
      </c>
    </row>
    <row r="535" spans="28:29" x14ac:dyDescent="0.35">
      <c r="AB535" s="26">
        <v>532</v>
      </c>
      <c r="AC535" s="26">
        <v>6298</v>
      </c>
    </row>
    <row r="536" spans="28:29" x14ac:dyDescent="0.35">
      <c r="AB536" s="44">
        <v>533</v>
      </c>
      <c r="AC536" s="26">
        <v>6315.25</v>
      </c>
    </row>
    <row r="537" spans="28:29" x14ac:dyDescent="0.35">
      <c r="AB537" s="26">
        <v>534</v>
      </c>
      <c r="AC537" s="26">
        <v>6332.5</v>
      </c>
    </row>
    <row r="538" spans="28:29" x14ac:dyDescent="0.35">
      <c r="AB538" s="44">
        <v>535</v>
      </c>
      <c r="AC538" s="26">
        <v>6349.75</v>
      </c>
    </row>
    <row r="539" spans="28:29" x14ac:dyDescent="0.35">
      <c r="AB539" s="26">
        <v>536</v>
      </c>
      <c r="AC539" s="26">
        <v>6367</v>
      </c>
    </row>
    <row r="540" spans="28:29" x14ac:dyDescent="0.35">
      <c r="AB540" s="44">
        <v>537</v>
      </c>
      <c r="AC540" s="26">
        <v>6384</v>
      </c>
    </row>
    <row r="541" spans="28:29" x14ac:dyDescent="0.35">
      <c r="AB541" s="26">
        <v>538</v>
      </c>
      <c r="AC541" s="26">
        <v>6401</v>
      </c>
    </row>
    <row r="542" spans="28:29" x14ac:dyDescent="0.35">
      <c r="AB542" s="26">
        <v>539</v>
      </c>
      <c r="AC542" s="26">
        <v>6418</v>
      </c>
    </row>
    <row r="543" spans="28:29" x14ac:dyDescent="0.35">
      <c r="AB543" s="44">
        <v>540</v>
      </c>
      <c r="AC543" s="26">
        <v>6435</v>
      </c>
    </row>
    <row r="544" spans="28:29" x14ac:dyDescent="0.35">
      <c r="AB544" s="26">
        <v>541</v>
      </c>
      <c r="AC544" s="26">
        <v>6452</v>
      </c>
    </row>
    <row r="545" spans="28:29" x14ac:dyDescent="0.35">
      <c r="AB545" s="44">
        <v>542</v>
      </c>
      <c r="AC545" s="26">
        <v>6469</v>
      </c>
    </row>
    <row r="546" spans="28:29" x14ac:dyDescent="0.35">
      <c r="AB546" s="26">
        <v>543</v>
      </c>
      <c r="AC546" s="26">
        <v>6486</v>
      </c>
    </row>
    <row r="547" spans="28:29" x14ac:dyDescent="0.35">
      <c r="AB547" s="44">
        <v>544</v>
      </c>
      <c r="AC547" s="26">
        <v>6503</v>
      </c>
    </row>
    <row r="548" spans="28:29" x14ac:dyDescent="0.35">
      <c r="AB548" s="26">
        <v>545</v>
      </c>
      <c r="AC548" s="26">
        <v>6520.25</v>
      </c>
    </row>
    <row r="549" spans="28:29" x14ac:dyDescent="0.35">
      <c r="AB549" s="26">
        <v>546</v>
      </c>
      <c r="AC549" s="26">
        <v>6537.5</v>
      </c>
    </row>
    <row r="550" spans="28:29" x14ac:dyDescent="0.35">
      <c r="AB550" s="44">
        <v>547</v>
      </c>
      <c r="AC550" s="26">
        <v>6554.75</v>
      </c>
    </row>
    <row r="551" spans="28:29" x14ac:dyDescent="0.35">
      <c r="AB551" s="26">
        <v>548</v>
      </c>
      <c r="AC551" s="26">
        <v>6572</v>
      </c>
    </row>
    <row r="552" spans="28:29" x14ac:dyDescent="0.35">
      <c r="AB552" s="44">
        <v>549</v>
      </c>
      <c r="AC552" s="26">
        <v>6589.25</v>
      </c>
    </row>
    <row r="553" spans="28:29" x14ac:dyDescent="0.35">
      <c r="AB553" s="26">
        <v>550</v>
      </c>
      <c r="AC553" s="26">
        <v>6606.5</v>
      </c>
    </row>
    <row r="554" spans="28:29" x14ac:dyDescent="0.35">
      <c r="AB554" s="44">
        <v>551</v>
      </c>
      <c r="AC554" s="26">
        <v>6623.75</v>
      </c>
    </row>
    <row r="555" spans="28:29" x14ac:dyDescent="0.35">
      <c r="AB555" s="26">
        <v>552</v>
      </c>
      <c r="AC555" s="26">
        <v>6641</v>
      </c>
    </row>
    <row r="556" spans="28:29" x14ac:dyDescent="0.35">
      <c r="AB556" s="26">
        <v>553</v>
      </c>
      <c r="AC556" s="26">
        <v>6658.25</v>
      </c>
    </row>
    <row r="557" spans="28:29" x14ac:dyDescent="0.35">
      <c r="AB557" s="44">
        <v>554</v>
      </c>
      <c r="AC557" s="26">
        <v>6675.5</v>
      </c>
    </row>
    <row r="558" spans="28:29" x14ac:dyDescent="0.35">
      <c r="AB558" s="26">
        <v>555</v>
      </c>
      <c r="AC558" s="26">
        <v>6692.75</v>
      </c>
    </row>
    <row r="559" spans="28:29" x14ac:dyDescent="0.35">
      <c r="AB559" s="44">
        <v>556</v>
      </c>
      <c r="AC559" s="26">
        <v>6710</v>
      </c>
    </row>
    <row r="560" spans="28:29" x14ac:dyDescent="0.35">
      <c r="AB560" s="26">
        <v>557</v>
      </c>
      <c r="AC560" s="26">
        <v>6727.25</v>
      </c>
    </row>
    <row r="561" spans="28:29" x14ac:dyDescent="0.35">
      <c r="AB561" s="44">
        <v>558</v>
      </c>
      <c r="AC561" s="26">
        <v>6744.5</v>
      </c>
    </row>
    <row r="562" spans="28:29" x14ac:dyDescent="0.35">
      <c r="AB562" s="26">
        <v>559</v>
      </c>
      <c r="AC562" s="26">
        <v>6761.75</v>
      </c>
    </row>
    <row r="563" spans="28:29" x14ac:dyDescent="0.35">
      <c r="AB563" s="26">
        <v>560</v>
      </c>
      <c r="AC563" s="26">
        <v>6779</v>
      </c>
    </row>
    <row r="564" spans="28:29" x14ac:dyDescent="0.35">
      <c r="AB564" s="44">
        <v>561</v>
      </c>
      <c r="AC564" s="26">
        <v>6796.5</v>
      </c>
    </row>
    <row r="565" spans="28:29" x14ac:dyDescent="0.35">
      <c r="AB565" s="26">
        <v>562</v>
      </c>
      <c r="AC565" s="26">
        <v>6814</v>
      </c>
    </row>
    <row r="566" spans="28:29" x14ac:dyDescent="0.35">
      <c r="AB566" s="44">
        <v>563</v>
      </c>
      <c r="AC566" s="26">
        <v>6831.5</v>
      </c>
    </row>
    <row r="567" spans="28:29" x14ac:dyDescent="0.35">
      <c r="AB567" s="26">
        <v>564</v>
      </c>
      <c r="AC567" s="26">
        <v>6849</v>
      </c>
    </row>
    <row r="568" spans="28:29" x14ac:dyDescent="0.35">
      <c r="AB568" s="44">
        <v>565</v>
      </c>
      <c r="AC568" s="26">
        <v>6866.25</v>
      </c>
    </row>
    <row r="569" spans="28:29" x14ac:dyDescent="0.35">
      <c r="AB569" s="26">
        <v>566</v>
      </c>
      <c r="AC569" s="26">
        <v>6883.5</v>
      </c>
    </row>
    <row r="570" spans="28:29" x14ac:dyDescent="0.35">
      <c r="AB570" s="26">
        <v>567</v>
      </c>
      <c r="AC570" s="26">
        <v>6900.75</v>
      </c>
    </row>
    <row r="571" spans="28:29" x14ac:dyDescent="0.35">
      <c r="AB571" s="44">
        <v>568</v>
      </c>
      <c r="AC571" s="26">
        <v>6918</v>
      </c>
    </row>
    <row r="572" spans="28:29" x14ac:dyDescent="0.35">
      <c r="AB572" s="26">
        <v>569</v>
      </c>
      <c r="AC572" s="26">
        <v>6935.5</v>
      </c>
    </row>
    <row r="573" spans="28:29" x14ac:dyDescent="0.35">
      <c r="AB573" s="44">
        <v>570</v>
      </c>
      <c r="AC573" s="26">
        <v>6953</v>
      </c>
    </row>
    <row r="574" spans="28:29" x14ac:dyDescent="0.35">
      <c r="AB574" s="26">
        <v>571</v>
      </c>
      <c r="AC574" s="26">
        <v>6970.5</v>
      </c>
    </row>
    <row r="575" spans="28:29" x14ac:dyDescent="0.35">
      <c r="AB575" s="44">
        <v>572</v>
      </c>
      <c r="AC575" s="26">
        <v>6988</v>
      </c>
    </row>
    <row r="576" spans="28:29" x14ac:dyDescent="0.35">
      <c r="AB576" s="26">
        <v>573</v>
      </c>
      <c r="AC576" s="26">
        <v>7005.5</v>
      </c>
    </row>
    <row r="577" spans="28:29" x14ac:dyDescent="0.35">
      <c r="AB577" s="26">
        <v>574</v>
      </c>
      <c r="AC577" s="26">
        <v>7023</v>
      </c>
    </row>
    <row r="578" spans="28:29" x14ac:dyDescent="0.35">
      <c r="AB578" s="44">
        <v>575</v>
      </c>
      <c r="AC578" s="26">
        <v>7040.5</v>
      </c>
    </row>
    <row r="579" spans="28:29" x14ac:dyDescent="0.35">
      <c r="AB579" s="26">
        <v>576</v>
      </c>
      <c r="AC579" s="26">
        <v>7058</v>
      </c>
    </row>
    <row r="580" spans="28:29" x14ac:dyDescent="0.35">
      <c r="AB580" s="44">
        <v>577</v>
      </c>
      <c r="AC580" s="26">
        <v>7075.5</v>
      </c>
    </row>
    <row r="581" spans="28:29" x14ac:dyDescent="0.35">
      <c r="AB581" s="26">
        <v>578</v>
      </c>
      <c r="AC581" s="26">
        <v>7093</v>
      </c>
    </row>
    <row r="582" spans="28:29" x14ac:dyDescent="0.35">
      <c r="AB582" s="44">
        <v>579</v>
      </c>
      <c r="AC582" s="26">
        <v>7110.5</v>
      </c>
    </row>
    <row r="583" spans="28:29" x14ac:dyDescent="0.35">
      <c r="AB583" s="26">
        <v>580</v>
      </c>
      <c r="AC583" s="26">
        <v>7128</v>
      </c>
    </row>
    <row r="584" spans="28:29" x14ac:dyDescent="0.35">
      <c r="AB584" s="26">
        <v>581</v>
      </c>
      <c r="AC584" s="26">
        <v>7145.5</v>
      </c>
    </row>
    <row r="585" spans="28:29" x14ac:dyDescent="0.35">
      <c r="AB585" s="44">
        <v>582</v>
      </c>
      <c r="AC585" s="26">
        <v>7163</v>
      </c>
    </row>
    <row r="586" spans="28:29" x14ac:dyDescent="0.35">
      <c r="AB586" s="26">
        <v>583</v>
      </c>
      <c r="AC586" s="26">
        <v>7180.5</v>
      </c>
    </row>
    <row r="587" spans="28:29" x14ac:dyDescent="0.35">
      <c r="AB587" s="44">
        <v>584</v>
      </c>
      <c r="AC587" s="26">
        <v>7198</v>
      </c>
    </row>
    <row r="588" spans="28:29" x14ac:dyDescent="0.35">
      <c r="AB588" s="26">
        <v>585</v>
      </c>
      <c r="AC588" s="26">
        <v>7215.75</v>
      </c>
    </row>
    <row r="589" spans="28:29" x14ac:dyDescent="0.35">
      <c r="AB589" s="44">
        <v>586</v>
      </c>
      <c r="AC589" s="26">
        <v>7233.5</v>
      </c>
    </row>
    <row r="590" spans="28:29" x14ac:dyDescent="0.35">
      <c r="AB590" s="26">
        <v>587</v>
      </c>
      <c r="AC590" s="26">
        <v>7251.25</v>
      </c>
    </row>
    <row r="591" spans="28:29" x14ac:dyDescent="0.35">
      <c r="AB591" s="26">
        <v>588</v>
      </c>
      <c r="AC591" s="26">
        <v>7269</v>
      </c>
    </row>
    <row r="592" spans="28:29" x14ac:dyDescent="0.35">
      <c r="AB592" s="44">
        <v>589</v>
      </c>
      <c r="AC592" s="26">
        <v>7286.75</v>
      </c>
    </row>
    <row r="593" spans="28:29" x14ac:dyDescent="0.35">
      <c r="AB593" s="26">
        <v>590</v>
      </c>
      <c r="AC593" s="26">
        <v>7304.5</v>
      </c>
    </row>
    <row r="594" spans="28:29" x14ac:dyDescent="0.35">
      <c r="AB594" s="44">
        <v>591</v>
      </c>
      <c r="AC594" s="26">
        <v>7322.25</v>
      </c>
    </row>
    <row r="595" spans="28:29" x14ac:dyDescent="0.35">
      <c r="AB595" s="26">
        <v>592</v>
      </c>
      <c r="AC595" s="26">
        <v>7340</v>
      </c>
    </row>
    <row r="596" spans="28:29" x14ac:dyDescent="0.35">
      <c r="AB596" s="44">
        <v>593</v>
      </c>
      <c r="AC596" s="26">
        <v>7357.5</v>
      </c>
    </row>
    <row r="597" spans="28:29" x14ac:dyDescent="0.35">
      <c r="AB597" s="26">
        <v>594</v>
      </c>
      <c r="AC597" s="26">
        <v>7375</v>
      </c>
    </row>
    <row r="598" spans="28:29" x14ac:dyDescent="0.35">
      <c r="AB598" s="26">
        <v>595</v>
      </c>
      <c r="AC598" s="26">
        <v>7392.5</v>
      </c>
    </row>
    <row r="599" spans="28:29" x14ac:dyDescent="0.35">
      <c r="AB599" s="44">
        <v>596</v>
      </c>
      <c r="AC599" s="26">
        <v>7410</v>
      </c>
    </row>
    <row r="600" spans="28:29" x14ac:dyDescent="0.35">
      <c r="AB600" s="26">
        <v>597</v>
      </c>
      <c r="AC600" s="26">
        <v>7428</v>
      </c>
    </row>
    <row r="601" spans="28:29" x14ac:dyDescent="0.35">
      <c r="AB601" s="44">
        <v>598</v>
      </c>
      <c r="AC601" s="26">
        <v>7446</v>
      </c>
    </row>
    <row r="602" spans="28:29" x14ac:dyDescent="0.35">
      <c r="AB602" s="26">
        <v>599</v>
      </c>
      <c r="AC602" s="26">
        <v>7464</v>
      </c>
    </row>
    <row r="603" spans="28:29" x14ac:dyDescent="0.35">
      <c r="AB603" s="44">
        <v>600</v>
      </c>
      <c r="AC603" s="26">
        <v>7482</v>
      </c>
    </row>
    <row r="604" spans="28:29" x14ac:dyDescent="0.35">
      <c r="AB604" s="26">
        <v>601</v>
      </c>
      <c r="AC604" s="26">
        <v>7499.75</v>
      </c>
    </row>
    <row r="605" spans="28:29" x14ac:dyDescent="0.35">
      <c r="AB605" s="26">
        <v>602</v>
      </c>
      <c r="AC605" s="26">
        <v>7517.5</v>
      </c>
    </row>
    <row r="606" spans="28:29" x14ac:dyDescent="0.35">
      <c r="AB606" s="44">
        <v>603</v>
      </c>
      <c r="AC606" s="26">
        <v>7535.25</v>
      </c>
    </row>
    <row r="607" spans="28:29" x14ac:dyDescent="0.35">
      <c r="AB607" s="26">
        <v>604</v>
      </c>
      <c r="AC607" s="26">
        <v>7553</v>
      </c>
    </row>
    <row r="608" spans="28:29" x14ac:dyDescent="0.35">
      <c r="AB608" s="44">
        <v>605</v>
      </c>
      <c r="AC608" s="26">
        <v>7570.75</v>
      </c>
    </row>
    <row r="609" spans="28:29" x14ac:dyDescent="0.35">
      <c r="AB609" s="26">
        <v>606</v>
      </c>
      <c r="AC609" s="26">
        <v>7588.5</v>
      </c>
    </row>
    <row r="610" spans="28:29" x14ac:dyDescent="0.35">
      <c r="AB610" s="44">
        <v>607</v>
      </c>
      <c r="AC610" s="26">
        <v>7606.25</v>
      </c>
    </row>
    <row r="611" spans="28:29" x14ac:dyDescent="0.35">
      <c r="AB611" s="26">
        <v>608</v>
      </c>
      <c r="AC611" s="26">
        <v>7624</v>
      </c>
    </row>
    <row r="612" spans="28:29" x14ac:dyDescent="0.35">
      <c r="AB612" s="26">
        <v>609</v>
      </c>
      <c r="AC612" s="26">
        <v>7642</v>
      </c>
    </row>
    <row r="613" spans="28:29" x14ac:dyDescent="0.35">
      <c r="AB613" s="44">
        <v>610</v>
      </c>
      <c r="AC613" s="26">
        <v>7660</v>
      </c>
    </row>
    <row r="614" spans="28:29" x14ac:dyDescent="0.35">
      <c r="AB614" s="26">
        <v>611</v>
      </c>
      <c r="AC614" s="26">
        <v>7678</v>
      </c>
    </row>
    <row r="615" spans="28:29" x14ac:dyDescent="0.35">
      <c r="AB615" s="44">
        <v>612</v>
      </c>
      <c r="AC615" s="26">
        <v>7696</v>
      </c>
    </row>
    <row r="616" spans="28:29" x14ac:dyDescent="0.35">
      <c r="AB616" s="26">
        <v>613</v>
      </c>
      <c r="AC616" s="26">
        <v>7713.75</v>
      </c>
    </row>
    <row r="617" spans="28:29" x14ac:dyDescent="0.35">
      <c r="AB617" s="44">
        <v>614</v>
      </c>
      <c r="AC617" s="26">
        <v>7731.5</v>
      </c>
    </row>
    <row r="618" spans="28:29" x14ac:dyDescent="0.35">
      <c r="AB618" s="26">
        <v>615</v>
      </c>
      <c r="AC618" s="26">
        <v>7749.25</v>
      </c>
    </row>
    <row r="619" spans="28:29" x14ac:dyDescent="0.35">
      <c r="AB619" s="26">
        <v>616</v>
      </c>
      <c r="AC619" s="26">
        <v>7767</v>
      </c>
    </row>
    <row r="620" spans="28:29" x14ac:dyDescent="0.35">
      <c r="AB620" s="44">
        <v>617</v>
      </c>
      <c r="AC620" s="26">
        <v>7785</v>
      </c>
    </row>
    <row r="621" spans="28:29" x14ac:dyDescent="0.35">
      <c r="AB621" s="26">
        <v>618</v>
      </c>
      <c r="AC621" s="26">
        <v>7803</v>
      </c>
    </row>
    <row r="622" spans="28:29" x14ac:dyDescent="0.35">
      <c r="AB622" s="44">
        <v>619</v>
      </c>
      <c r="AC622" s="26">
        <v>7821</v>
      </c>
    </row>
    <row r="623" spans="28:29" x14ac:dyDescent="0.35">
      <c r="AB623" s="26">
        <v>620</v>
      </c>
      <c r="AC623" s="26">
        <v>7839</v>
      </c>
    </row>
    <row r="624" spans="28:29" x14ac:dyDescent="0.35">
      <c r="AB624" s="44">
        <v>621</v>
      </c>
      <c r="AC624" s="26">
        <v>7857</v>
      </c>
    </row>
    <row r="625" spans="28:29" x14ac:dyDescent="0.35">
      <c r="AB625" s="26">
        <v>622</v>
      </c>
      <c r="AC625" s="26">
        <v>7875</v>
      </c>
    </row>
    <row r="626" spans="28:29" x14ac:dyDescent="0.35">
      <c r="AB626" s="26">
        <v>623</v>
      </c>
      <c r="AC626" s="26">
        <v>7893</v>
      </c>
    </row>
    <row r="627" spans="28:29" x14ac:dyDescent="0.35">
      <c r="AB627" s="44">
        <v>624</v>
      </c>
      <c r="AC627" s="26">
        <v>7911</v>
      </c>
    </row>
    <row r="628" spans="28:29" x14ac:dyDescent="0.35">
      <c r="AB628" s="26">
        <v>625</v>
      </c>
      <c r="AC628" s="26">
        <v>7929</v>
      </c>
    </row>
    <row r="629" spans="28:29" x14ac:dyDescent="0.35">
      <c r="AB629" s="44">
        <v>626</v>
      </c>
      <c r="AC629" s="26">
        <v>7947</v>
      </c>
    </row>
    <row r="630" spans="28:29" x14ac:dyDescent="0.35">
      <c r="AB630" s="26">
        <v>627</v>
      </c>
      <c r="AC630" s="26">
        <v>7965</v>
      </c>
    </row>
    <row r="631" spans="28:29" x14ac:dyDescent="0.35">
      <c r="AB631" s="44">
        <v>628</v>
      </c>
      <c r="AC631" s="26">
        <v>7983</v>
      </c>
    </row>
    <row r="632" spans="28:29" x14ac:dyDescent="0.35">
      <c r="AB632" s="26">
        <v>629</v>
      </c>
      <c r="AC632" s="26">
        <v>8001.25</v>
      </c>
    </row>
    <row r="633" spans="28:29" x14ac:dyDescent="0.35">
      <c r="AB633" s="26">
        <v>630</v>
      </c>
      <c r="AC633" s="26">
        <v>8019.5</v>
      </c>
    </row>
    <row r="634" spans="28:29" x14ac:dyDescent="0.35">
      <c r="AB634" s="44">
        <v>631</v>
      </c>
      <c r="AC634" s="26">
        <v>8037.75</v>
      </c>
    </row>
    <row r="635" spans="28:29" x14ac:dyDescent="0.35">
      <c r="AB635" s="26">
        <v>632</v>
      </c>
      <c r="AC635" s="26">
        <v>8056</v>
      </c>
    </row>
    <row r="636" spans="28:29" x14ac:dyDescent="0.35">
      <c r="AB636" s="44">
        <v>633</v>
      </c>
      <c r="AC636" s="26">
        <v>8074</v>
      </c>
    </row>
    <row r="637" spans="28:29" x14ac:dyDescent="0.35">
      <c r="AB637" s="26">
        <v>634</v>
      </c>
      <c r="AC637" s="26">
        <v>8092</v>
      </c>
    </row>
    <row r="638" spans="28:29" x14ac:dyDescent="0.35">
      <c r="AB638" s="44">
        <v>635</v>
      </c>
      <c r="AC638" s="26">
        <v>8110</v>
      </c>
    </row>
    <row r="639" spans="28:29" x14ac:dyDescent="0.35">
      <c r="AB639" s="26">
        <v>636</v>
      </c>
      <c r="AC639" s="26">
        <v>8128</v>
      </c>
    </row>
    <row r="640" spans="28:29" x14ac:dyDescent="0.35">
      <c r="AB640" s="26">
        <v>637</v>
      </c>
      <c r="AC640" s="26">
        <v>8146.25</v>
      </c>
    </row>
    <row r="641" spans="28:29" x14ac:dyDescent="0.35">
      <c r="AB641" s="44">
        <v>638</v>
      </c>
      <c r="AC641" s="26">
        <v>8164.5</v>
      </c>
    </row>
    <row r="642" spans="28:29" x14ac:dyDescent="0.35">
      <c r="AB642" s="26">
        <v>639</v>
      </c>
      <c r="AC642" s="26">
        <v>8182.75</v>
      </c>
    </row>
    <row r="643" spans="28:29" x14ac:dyDescent="0.35">
      <c r="AB643" s="44">
        <v>640</v>
      </c>
      <c r="AC643" s="26">
        <v>8201</v>
      </c>
    </row>
    <row r="644" spans="28:29" x14ac:dyDescent="0.35">
      <c r="AB644" s="26">
        <v>641</v>
      </c>
      <c r="AC644" s="26">
        <v>8219.25</v>
      </c>
    </row>
    <row r="645" spans="28:29" x14ac:dyDescent="0.35">
      <c r="AB645" s="44">
        <v>642</v>
      </c>
      <c r="AC645" s="26">
        <v>8237.5</v>
      </c>
    </row>
    <row r="646" spans="28:29" x14ac:dyDescent="0.35">
      <c r="AB646" s="26">
        <v>643</v>
      </c>
      <c r="AC646" s="26">
        <v>8255.75</v>
      </c>
    </row>
    <row r="647" spans="28:29" x14ac:dyDescent="0.35">
      <c r="AB647" s="26">
        <v>644</v>
      </c>
      <c r="AC647" s="26">
        <v>8274</v>
      </c>
    </row>
    <row r="648" spans="28:29" x14ac:dyDescent="0.35">
      <c r="AB648" s="44">
        <v>645</v>
      </c>
      <c r="AC648" s="26">
        <v>8292.25</v>
      </c>
    </row>
    <row r="649" spans="28:29" x14ac:dyDescent="0.35">
      <c r="AB649" s="26">
        <v>646</v>
      </c>
      <c r="AC649" s="26">
        <v>8310.5</v>
      </c>
    </row>
    <row r="650" spans="28:29" x14ac:dyDescent="0.35">
      <c r="AB650" s="44">
        <v>647</v>
      </c>
      <c r="AC650" s="26">
        <v>8328.75</v>
      </c>
    </row>
    <row r="651" spans="28:29" x14ac:dyDescent="0.35">
      <c r="AB651" s="26">
        <v>648</v>
      </c>
      <c r="AC651" s="26">
        <v>8347</v>
      </c>
    </row>
    <row r="652" spans="28:29" x14ac:dyDescent="0.35">
      <c r="AB652" s="44">
        <v>649</v>
      </c>
      <c r="AC652" s="26">
        <v>8365.25</v>
      </c>
    </row>
    <row r="653" spans="28:29" x14ac:dyDescent="0.35">
      <c r="AB653" s="26">
        <v>650</v>
      </c>
      <c r="AC653" s="26">
        <v>8383.5</v>
      </c>
    </row>
    <row r="654" spans="28:29" x14ac:dyDescent="0.35">
      <c r="AB654" s="26">
        <v>651</v>
      </c>
      <c r="AC654" s="26">
        <v>8401.75</v>
      </c>
    </row>
    <row r="655" spans="28:29" x14ac:dyDescent="0.35">
      <c r="AB655" s="44">
        <v>652</v>
      </c>
      <c r="AC655" s="26">
        <v>8420</v>
      </c>
    </row>
    <row r="656" spans="28:29" x14ac:dyDescent="0.35">
      <c r="AB656" s="26">
        <v>653</v>
      </c>
      <c r="AC656" s="26">
        <v>8438.25</v>
      </c>
    </row>
    <row r="657" spans="28:29" x14ac:dyDescent="0.35">
      <c r="AB657" s="44">
        <v>654</v>
      </c>
      <c r="AC657" s="26">
        <v>8456.5</v>
      </c>
    </row>
    <row r="658" spans="28:29" x14ac:dyDescent="0.35">
      <c r="AB658" s="26">
        <v>655</v>
      </c>
      <c r="AC658" s="26">
        <v>8474.75</v>
      </c>
    </row>
    <row r="659" spans="28:29" x14ac:dyDescent="0.35">
      <c r="AB659" s="44">
        <v>656</v>
      </c>
      <c r="AC659" s="26">
        <v>8493</v>
      </c>
    </row>
    <row r="660" spans="28:29" x14ac:dyDescent="0.35">
      <c r="AB660" s="26">
        <v>657</v>
      </c>
      <c r="AC660" s="26">
        <v>8511.5</v>
      </c>
    </row>
    <row r="661" spans="28:29" x14ac:dyDescent="0.35">
      <c r="AB661" s="26">
        <v>658</v>
      </c>
      <c r="AC661" s="26">
        <v>8530</v>
      </c>
    </row>
    <row r="662" spans="28:29" x14ac:dyDescent="0.35">
      <c r="AB662" s="44">
        <v>659</v>
      </c>
      <c r="AC662" s="26">
        <v>8548.5</v>
      </c>
    </row>
    <row r="663" spans="28:29" x14ac:dyDescent="0.35">
      <c r="AB663" s="26">
        <v>660</v>
      </c>
      <c r="AC663" s="26">
        <v>8567</v>
      </c>
    </row>
    <row r="664" spans="28:29" x14ac:dyDescent="0.35">
      <c r="AB664" s="44">
        <v>661</v>
      </c>
      <c r="AC664" s="26">
        <v>8585.5</v>
      </c>
    </row>
    <row r="665" spans="28:29" x14ac:dyDescent="0.35">
      <c r="AB665" s="26">
        <v>662</v>
      </c>
      <c r="AC665" s="26">
        <v>8604</v>
      </c>
    </row>
    <row r="666" spans="28:29" x14ac:dyDescent="0.35">
      <c r="AB666" s="44">
        <v>663</v>
      </c>
      <c r="AC666" s="26">
        <v>8622.5</v>
      </c>
    </row>
    <row r="667" spans="28:29" x14ac:dyDescent="0.35">
      <c r="AB667" s="26">
        <v>664</v>
      </c>
      <c r="AC667" s="26">
        <v>8641</v>
      </c>
    </row>
    <row r="668" spans="28:29" x14ac:dyDescent="0.35">
      <c r="AB668" s="26">
        <v>665</v>
      </c>
      <c r="AC668" s="26">
        <v>8659.25</v>
      </c>
    </row>
    <row r="669" spans="28:29" x14ac:dyDescent="0.35">
      <c r="AB669" s="44">
        <v>666</v>
      </c>
      <c r="AC669" s="26">
        <v>8677.5</v>
      </c>
    </row>
    <row r="670" spans="28:29" x14ac:dyDescent="0.35">
      <c r="AB670" s="26">
        <v>667</v>
      </c>
      <c r="AC670" s="26">
        <v>8695.75</v>
      </c>
    </row>
    <row r="671" spans="28:29" x14ac:dyDescent="0.35">
      <c r="AB671" s="44">
        <v>668</v>
      </c>
      <c r="AC671" s="26">
        <v>8714</v>
      </c>
    </row>
    <row r="672" spans="28:29" x14ac:dyDescent="0.35">
      <c r="AB672" s="26">
        <v>669</v>
      </c>
      <c r="AC672" s="26">
        <v>8732.5</v>
      </c>
    </row>
    <row r="673" spans="28:29" x14ac:dyDescent="0.35">
      <c r="AB673" s="44">
        <v>670</v>
      </c>
      <c r="AC673" s="26">
        <v>8751</v>
      </c>
    </row>
    <row r="674" spans="28:29" x14ac:dyDescent="0.35">
      <c r="AB674" s="26">
        <v>671</v>
      </c>
      <c r="AC674" s="26">
        <v>8769.5</v>
      </c>
    </row>
    <row r="675" spans="28:29" x14ac:dyDescent="0.35">
      <c r="AB675" s="26">
        <v>672</v>
      </c>
      <c r="AC675" s="26">
        <v>8788</v>
      </c>
    </row>
    <row r="676" spans="28:29" x14ac:dyDescent="0.35">
      <c r="AB676" s="44">
        <v>673</v>
      </c>
      <c r="AC676" s="26">
        <v>8806.5</v>
      </c>
    </row>
    <row r="677" spans="28:29" x14ac:dyDescent="0.35">
      <c r="AB677" s="26">
        <v>674</v>
      </c>
      <c r="AC677" s="26">
        <v>8825</v>
      </c>
    </row>
    <row r="678" spans="28:29" x14ac:dyDescent="0.35">
      <c r="AB678" s="44">
        <v>675</v>
      </c>
      <c r="AC678" s="26">
        <v>8843.5</v>
      </c>
    </row>
    <row r="679" spans="28:29" x14ac:dyDescent="0.35">
      <c r="AB679" s="26">
        <v>676</v>
      </c>
      <c r="AC679" s="26">
        <v>8862</v>
      </c>
    </row>
    <row r="680" spans="28:29" x14ac:dyDescent="0.35">
      <c r="AB680" s="44">
        <v>677</v>
      </c>
      <c r="AC680" s="26">
        <v>8880.75</v>
      </c>
    </row>
    <row r="681" spans="28:29" x14ac:dyDescent="0.35">
      <c r="AB681" s="26">
        <v>678</v>
      </c>
      <c r="AC681" s="26">
        <v>8899.5</v>
      </c>
    </row>
    <row r="682" spans="28:29" x14ac:dyDescent="0.35">
      <c r="AB682" s="26">
        <v>679</v>
      </c>
      <c r="AC682" s="26">
        <v>8918.25</v>
      </c>
    </row>
    <row r="683" spans="28:29" x14ac:dyDescent="0.35">
      <c r="AB683" s="44">
        <v>680</v>
      </c>
      <c r="AC683" s="26">
        <v>8937</v>
      </c>
    </row>
    <row r="684" spans="28:29" x14ac:dyDescent="0.35">
      <c r="AB684" s="26">
        <v>681</v>
      </c>
      <c r="AC684" s="26">
        <v>8955.5</v>
      </c>
    </row>
    <row r="685" spans="28:29" x14ac:dyDescent="0.35">
      <c r="AB685" s="44">
        <v>682</v>
      </c>
      <c r="AC685" s="26">
        <v>8974</v>
      </c>
    </row>
    <row r="686" spans="28:29" x14ac:dyDescent="0.35">
      <c r="AB686" s="26">
        <v>683</v>
      </c>
      <c r="AC686" s="26">
        <v>8992.5</v>
      </c>
    </row>
    <row r="687" spans="28:29" x14ac:dyDescent="0.35">
      <c r="AB687" s="44">
        <v>684</v>
      </c>
      <c r="AC687" s="26">
        <v>9011</v>
      </c>
    </row>
    <row r="688" spans="28:29" x14ac:dyDescent="0.35">
      <c r="AB688" s="26">
        <v>685</v>
      </c>
      <c r="AC688" s="26">
        <v>9029.5</v>
      </c>
    </row>
    <row r="689" spans="28:29" x14ac:dyDescent="0.35">
      <c r="AB689" s="26">
        <v>686</v>
      </c>
      <c r="AC689" s="26">
        <v>9048</v>
      </c>
    </row>
    <row r="690" spans="28:29" x14ac:dyDescent="0.35">
      <c r="AB690" s="44">
        <v>687</v>
      </c>
      <c r="AC690" s="26">
        <v>9066.5</v>
      </c>
    </row>
    <row r="691" spans="28:29" x14ac:dyDescent="0.35">
      <c r="AB691" s="26">
        <v>688</v>
      </c>
      <c r="AC691" s="26">
        <v>9085</v>
      </c>
    </row>
    <row r="692" spans="28:29" x14ac:dyDescent="0.35">
      <c r="AB692" s="44">
        <v>689</v>
      </c>
      <c r="AC692" s="26">
        <v>9103.75</v>
      </c>
    </row>
    <row r="693" spans="28:29" x14ac:dyDescent="0.35">
      <c r="AB693" s="26">
        <v>690</v>
      </c>
      <c r="AC693" s="26">
        <v>9122.5</v>
      </c>
    </row>
    <row r="694" spans="28:29" x14ac:dyDescent="0.35">
      <c r="AB694" s="44">
        <v>691</v>
      </c>
      <c r="AC694" s="26">
        <v>9141.25</v>
      </c>
    </row>
    <row r="695" spans="28:29" x14ac:dyDescent="0.35">
      <c r="AB695" s="26">
        <v>692</v>
      </c>
      <c r="AC695" s="26">
        <v>9160</v>
      </c>
    </row>
    <row r="696" spans="28:29" x14ac:dyDescent="0.35">
      <c r="AB696" s="26">
        <v>693</v>
      </c>
      <c r="AC696" s="26">
        <v>9178.75</v>
      </c>
    </row>
    <row r="697" spans="28:29" x14ac:dyDescent="0.35">
      <c r="AB697" s="44">
        <v>694</v>
      </c>
      <c r="AC697" s="26">
        <v>9197.5</v>
      </c>
    </row>
    <row r="698" spans="28:29" x14ac:dyDescent="0.35">
      <c r="AB698" s="26">
        <v>695</v>
      </c>
      <c r="AC698" s="26">
        <v>9216.25</v>
      </c>
    </row>
    <row r="699" spans="28:29" x14ac:dyDescent="0.35">
      <c r="AB699" s="44">
        <v>696</v>
      </c>
      <c r="AC699" s="26">
        <v>9235</v>
      </c>
    </row>
    <row r="700" spans="28:29" x14ac:dyDescent="0.35">
      <c r="AB700" s="26">
        <v>697</v>
      </c>
      <c r="AC700" s="26">
        <v>9253.75</v>
      </c>
    </row>
    <row r="701" spans="28:29" x14ac:dyDescent="0.35">
      <c r="AB701" s="44">
        <v>698</v>
      </c>
      <c r="AC701" s="26">
        <v>9272.5</v>
      </c>
    </row>
    <row r="702" spans="28:29" x14ac:dyDescent="0.35">
      <c r="AB702" s="26">
        <v>699</v>
      </c>
      <c r="AC702" s="26">
        <v>9291.25</v>
      </c>
    </row>
    <row r="703" spans="28:29" x14ac:dyDescent="0.35">
      <c r="AB703" s="26">
        <v>700</v>
      </c>
      <c r="AC703" s="26">
        <v>9310</v>
      </c>
    </row>
    <row r="704" spans="28:29" x14ac:dyDescent="0.35">
      <c r="AB704" s="44">
        <v>701</v>
      </c>
      <c r="AC704" s="26">
        <v>9328.75</v>
      </c>
    </row>
    <row r="705" spans="28:29" x14ac:dyDescent="0.35">
      <c r="AB705" s="26">
        <v>702</v>
      </c>
      <c r="AC705" s="26">
        <v>9347.5</v>
      </c>
    </row>
    <row r="706" spans="28:29" x14ac:dyDescent="0.35">
      <c r="AB706" s="44">
        <v>703</v>
      </c>
      <c r="AC706" s="26">
        <v>9366.25</v>
      </c>
    </row>
    <row r="707" spans="28:29" x14ac:dyDescent="0.35">
      <c r="AB707" s="26">
        <v>704</v>
      </c>
      <c r="AC707" s="26">
        <v>9385</v>
      </c>
    </row>
    <row r="708" spans="28:29" x14ac:dyDescent="0.35">
      <c r="AB708" s="44">
        <v>705</v>
      </c>
      <c r="AC708" s="26">
        <v>9403.75</v>
      </c>
    </row>
    <row r="709" spans="28:29" x14ac:dyDescent="0.35">
      <c r="AB709" s="26">
        <v>706</v>
      </c>
      <c r="AC709" s="26">
        <v>9422.5</v>
      </c>
    </row>
    <row r="710" spans="28:29" x14ac:dyDescent="0.35">
      <c r="AB710" s="26">
        <v>707</v>
      </c>
      <c r="AC710" s="26">
        <v>9441.25</v>
      </c>
    </row>
    <row r="711" spans="28:29" x14ac:dyDescent="0.35">
      <c r="AB711" s="44">
        <v>708</v>
      </c>
      <c r="AC711" s="26">
        <v>9460</v>
      </c>
    </row>
    <row r="712" spans="28:29" x14ac:dyDescent="0.35">
      <c r="AB712" s="26">
        <v>709</v>
      </c>
      <c r="AC712" s="26">
        <v>9479</v>
      </c>
    </row>
    <row r="713" spans="28:29" x14ac:dyDescent="0.35">
      <c r="AB713" s="44">
        <v>710</v>
      </c>
      <c r="AC713" s="26">
        <v>9498</v>
      </c>
    </row>
    <row r="714" spans="28:29" x14ac:dyDescent="0.35">
      <c r="AB714" s="26">
        <v>711</v>
      </c>
      <c r="AC714" s="26">
        <v>9517</v>
      </c>
    </row>
    <row r="715" spans="28:29" x14ac:dyDescent="0.35">
      <c r="AB715" s="44">
        <v>712</v>
      </c>
      <c r="AC715" s="26">
        <v>9536</v>
      </c>
    </row>
    <row r="716" spans="28:29" x14ac:dyDescent="0.35">
      <c r="AB716" s="26">
        <v>713</v>
      </c>
      <c r="AC716" s="26">
        <v>9554.75</v>
      </c>
    </row>
    <row r="717" spans="28:29" x14ac:dyDescent="0.35">
      <c r="AB717" s="26">
        <v>714</v>
      </c>
      <c r="AC717" s="26">
        <v>9573.5</v>
      </c>
    </row>
    <row r="718" spans="28:29" x14ac:dyDescent="0.35">
      <c r="AB718" s="44">
        <v>715</v>
      </c>
      <c r="AC718" s="26">
        <v>9592.25</v>
      </c>
    </row>
    <row r="719" spans="28:29" x14ac:dyDescent="0.35">
      <c r="AB719" s="26">
        <v>716</v>
      </c>
      <c r="AC719" s="26">
        <v>9611</v>
      </c>
    </row>
    <row r="720" spans="28:29" x14ac:dyDescent="0.35">
      <c r="AB720" s="44">
        <v>717</v>
      </c>
      <c r="AC720" s="26">
        <v>9630</v>
      </c>
    </row>
    <row r="721" spans="28:29" x14ac:dyDescent="0.35">
      <c r="AB721" s="26">
        <v>718</v>
      </c>
      <c r="AC721" s="26">
        <v>9649</v>
      </c>
    </row>
    <row r="722" spans="28:29" x14ac:dyDescent="0.35">
      <c r="AB722" s="44">
        <v>719</v>
      </c>
      <c r="AC722" s="26">
        <v>9668</v>
      </c>
    </row>
    <row r="723" spans="28:29" x14ac:dyDescent="0.35">
      <c r="AB723" s="26">
        <v>720</v>
      </c>
      <c r="AC723" s="26">
        <v>9687</v>
      </c>
    </row>
    <row r="724" spans="28:29" x14ac:dyDescent="0.35">
      <c r="AB724" s="26">
        <v>721</v>
      </c>
      <c r="AC724" s="26">
        <v>9706</v>
      </c>
    </row>
    <row r="725" spans="28:29" x14ac:dyDescent="0.35">
      <c r="AB725" s="44">
        <v>722</v>
      </c>
      <c r="AC725" s="26">
        <v>9725</v>
      </c>
    </row>
    <row r="726" spans="28:29" x14ac:dyDescent="0.35">
      <c r="AB726" s="26">
        <v>723</v>
      </c>
      <c r="AC726" s="26">
        <v>9744</v>
      </c>
    </row>
    <row r="727" spans="28:29" x14ac:dyDescent="0.35">
      <c r="AB727" s="44">
        <v>724</v>
      </c>
      <c r="AC727" s="26">
        <v>9763</v>
      </c>
    </row>
    <row r="728" spans="28:29" x14ac:dyDescent="0.35">
      <c r="AB728" s="26">
        <v>725</v>
      </c>
      <c r="AC728" s="26">
        <v>9782</v>
      </c>
    </row>
    <row r="729" spans="28:29" x14ac:dyDescent="0.35">
      <c r="AB729" s="44">
        <v>726</v>
      </c>
      <c r="AC729" s="26">
        <v>9801</v>
      </c>
    </row>
    <row r="730" spans="28:29" x14ac:dyDescent="0.35">
      <c r="AB730" s="26">
        <v>727</v>
      </c>
      <c r="AC730" s="26">
        <v>9820</v>
      </c>
    </row>
    <row r="731" spans="28:29" x14ac:dyDescent="0.35">
      <c r="AB731" s="26">
        <v>728</v>
      </c>
      <c r="AC731" s="26">
        <v>9839</v>
      </c>
    </row>
    <row r="732" spans="28:29" x14ac:dyDescent="0.35">
      <c r="AB732" s="44">
        <v>729</v>
      </c>
      <c r="AC732" s="26">
        <v>9858</v>
      </c>
    </row>
    <row r="733" spans="28:29" x14ac:dyDescent="0.35">
      <c r="AB733" s="26">
        <v>730</v>
      </c>
      <c r="AC733" s="26">
        <v>9877</v>
      </c>
    </row>
    <row r="734" spans="28:29" x14ac:dyDescent="0.35">
      <c r="AB734" s="44">
        <v>731</v>
      </c>
      <c r="AC734" s="26">
        <v>9896</v>
      </c>
    </row>
    <row r="735" spans="28:29" x14ac:dyDescent="0.35">
      <c r="AB735" s="26">
        <v>732</v>
      </c>
      <c r="AC735" s="26">
        <v>9915</v>
      </c>
    </row>
    <row r="736" spans="28:29" x14ac:dyDescent="0.35">
      <c r="AB736" s="44">
        <v>733</v>
      </c>
      <c r="AC736" s="26">
        <v>9934</v>
      </c>
    </row>
    <row r="737" spans="28:29" x14ac:dyDescent="0.35">
      <c r="AB737" s="26">
        <v>734</v>
      </c>
      <c r="AC737" s="26">
        <v>9953</v>
      </c>
    </row>
    <row r="738" spans="28:29" x14ac:dyDescent="0.35">
      <c r="AB738" s="26">
        <v>735</v>
      </c>
      <c r="AC738" s="26">
        <v>9972</v>
      </c>
    </row>
    <row r="739" spans="28:29" x14ac:dyDescent="0.35">
      <c r="AB739" s="44">
        <v>736</v>
      </c>
      <c r="AC739" s="26">
        <v>9991</v>
      </c>
    </row>
    <row r="740" spans="28:29" x14ac:dyDescent="0.35">
      <c r="AB740" s="26">
        <v>737</v>
      </c>
      <c r="AC740" s="26">
        <v>10010</v>
      </c>
    </row>
    <row r="741" spans="28:29" x14ac:dyDescent="0.35">
      <c r="AB741" s="44">
        <v>738</v>
      </c>
      <c r="AC741" s="26">
        <v>10029</v>
      </c>
    </row>
    <row r="742" spans="28:29" x14ac:dyDescent="0.35">
      <c r="AB742" s="26">
        <v>739</v>
      </c>
      <c r="AC742" s="26">
        <v>10048</v>
      </c>
    </row>
    <row r="743" spans="28:29" x14ac:dyDescent="0.35">
      <c r="AB743" s="44">
        <v>740</v>
      </c>
      <c r="AC743" s="26">
        <v>10067</v>
      </c>
    </row>
    <row r="744" spans="28:29" x14ac:dyDescent="0.35">
      <c r="AB744" s="26">
        <v>741</v>
      </c>
      <c r="AC744" s="26">
        <v>10086.25</v>
      </c>
    </row>
    <row r="745" spans="28:29" x14ac:dyDescent="0.35">
      <c r="AB745" s="26">
        <v>742</v>
      </c>
      <c r="AC745" s="26">
        <v>10105.5</v>
      </c>
    </row>
    <row r="746" spans="28:29" x14ac:dyDescent="0.35">
      <c r="AB746" s="44">
        <v>743</v>
      </c>
      <c r="AC746" s="26">
        <v>10124.75</v>
      </c>
    </row>
    <row r="747" spans="28:29" x14ac:dyDescent="0.35">
      <c r="AB747" s="26">
        <v>744</v>
      </c>
      <c r="AC747" s="26">
        <v>10144</v>
      </c>
    </row>
    <row r="748" spans="28:29" x14ac:dyDescent="0.35">
      <c r="AB748" s="44">
        <v>745</v>
      </c>
      <c r="AC748" s="26">
        <v>10163</v>
      </c>
    </row>
    <row r="749" spans="28:29" x14ac:dyDescent="0.35">
      <c r="AB749" s="26">
        <v>746</v>
      </c>
      <c r="AC749" s="26">
        <v>10182</v>
      </c>
    </row>
    <row r="750" spans="28:29" x14ac:dyDescent="0.35">
      <c r="AB750" s="44">
        <v>747</v>
      </c>
      <c r="AC750" s="26">
        <v>10201</v>
      </c>
    </row>
    <row r="751" spans="28:29" x14ac:dyDescent="0.35">
      <c r="AB751" s="26">
        <v>748</v>
      </c>
      <c r="AC751" s="26">
        <v>10220</v>
      </c>
    </row>
    <row r="752" spans="28:29" x14ac:dyDescent="0.35">
      <c r="AB752" s="26">
        <v>749</v>
      </c>
      <c r="AC752" s="26">
        <v>10239.25</v>
      </c>
    </row>
    <row r="753" spans="28:29" x14ac:dyDescent="0.35">
      <c r="AB753" s="44">
        <v>750</v>
      </c>
      <c r="AC753" s="26">
        <v>10258.5</v>
      </c>
    </row>
    <row r="754" spans="28:29" x14ac:dyDescent="0.35">
      <c r="AB754" s="26">
        <v>751</v>
      </c>
      <c r="AC754" s="26">
        <v>10277.75</v>
      </c>
    </row>
    <row r="755" spans="28:29" x14ac:dyDescent="0.35">
      <c r="AB755" s="44">
        <v>752</v>
      </c>
      <c r="AC755" s="26">
        <v>10297</v>
      </c>
    </row>
    <row r="756" spans="28:29" x14ac:dyDescent="0.35">
      <c r="AB756" s="26">
        <v>753</v>
      </c>
      <c r="AC756" s="26">
        <v>10316.25</v>
      </c>
    </row>
    <row r="757" spans="28:29" x14ac:dyDescent="0.35">
      <c r="AB757" s="44">
        <v>754</v>
      </c>
      <c r="AC757" s="26">
        <v>10335.5</v>
      </c>
    </row>
    <row r="758" spans="28:29" x14ac:dyDescent="0.35">
      <c r="AB758" s="26">
        <v>755</v>
      </c>
      <c r="AC758" s="26">
        <v>10354.75</v>
      </c>
    </row>
    <row r="759" spans="28:29" x14ac:dyDescent="0.35">
      <c r="AB759" s="26">
        <v>756</v>
      </c>
      <c r="AC759" s="26">
        <v>10374</v>
      </c>
    </row>
    <row r="760" spans="28:29" x14ac:dyDescent="0.35">
      <c r="AB760" s="44">
        <v>757</v>
      </c>
      <c r="AC760" s="26">
        <v>10393.25</v>
      </c>
    </row>
    <row r="761" spans="28:29" x14ac:dyDescent="0.35">
      <c r="AB761" s="26">
        <v>758</v>
      </c>
      <c r="AC761" s="26">
        <v>10412.5</v>
      </c>
    </row>
    <row r="762" spans="28:29" x14ac:dyDescent="0.35">
      <c r="AB762" s="44">
        <v>759</v>
      </c>
      <c r="AC762" s="26">
        <v>10431.75</v>
      </c>
    </row>
    <row r="763" spans="28:29" x14ac:dyDescent="0.35">
      <c r="AB763" s="26">
        <v>760</v>
      </c>
      <c r="AC763" s="26">
        <v>10451</v>
      </c>
    </row>
    <row r="764" spans="28:29" x14ac:dyDescent="0.35">
      <c r="AB764" s="44">
        <v>761</v>
      </c>
      <c r="AC764" s="26">
        <v>10470.25</v>
      </c>
    </row>
    <row r="765" spans="28:29" x14ac:dyDescent="0.35">
      <c r="AB765" s="26">
        <v>762</v>
      </c>
      <c r="AC765" s="26">
        <v>10489.5</v>
      </c>
    </row>
    <row r="766" spans="28:29" x14ac:dyDescent="0.35">
      <c r="AB766" s="26">
        <v>763</v>
      </c>
      <c r="AC766" s="26">
        <v>10508.75</v>
      </c>
    </row>
    <row r="767" spans="28:29" x14ac:dyDescent="0.35">
      <c r="AB767" s="44">
        <v>764</v>
      </c>
      <c r="AC767" s="26">
        <v>10528</v>
      </c>
    </row>
    <row r="768" spans="28:29" x14ac:dyDescent="0.35">
      <c r="AB768" s="26">
        <v>765</v>
      </c>
      <c r="AC768" s="26">
        <v>10547.25</v>
      </c>
    </row>
    <row r="769" spans="28:29" x14ac:dyDescent="0.35">
      <c r="AB769" s="44">
        <v>766</v>
      </c>
      <c r="AC769" s="26">
        <v>10566.5</v>
      </c>
    </row>
    <row r="770" spans="28:29" x14ac:dyDescent="0.35">
      <c r="AB770" s="26">
        <v>767</v>
      </c>
      <c r="AC770" s="26">
        <v>10585.75</v>
      </c>
    </row>
    <row r="771" spans="28:29" x14ac:dyDescent="0.35">
      <c r="AB771" s="44">
        <v>768</v>
      </c>
      <c r="AC771" s="26">
        <v>10605</v>
      </c>
    </row>
    <row r="772" spans="28:29" x14ac:dyDescent="0.35">
      <c r="AB772" s="26">
        <v>769</v>
      </c>
      <c r="AC772" s="26">
        <v>10624.25</v>
      </c>
    </row>
    <row r="773" spans="28:29" x14ac:dyDescent="0.35">
      <c r="AB773" s="26">
        <v>770</v>
      </c>
      <c r="AC773" s="26">
        <v>10643.5</v>
      </c>
    </row>
    <row r="774" spans="28:29" x14ac:dyDescent="0.35">
      <c r="AB774" s="44">
        <v>771</v>
      </c>
      <c r="AC774" s="26">
        <v>10662.75</v>
      </c>
    </row>
    <row r="775" spans="28:29" x14ac:dyDescent="0.35">
      <c r="AB775" s="26">
        <v>772</v>
      </c>
      <c r="AC775" s="26">
        <v>10682</v>
      </c>
    </row>
    <row r="776" spans="28:29" x14ac:dyDescent="0.35">
      <c r="AB776" s="44">
        <v>773</v>
      </c>
      <c r="AC776" s="26">
        <v>10701.5</v>
      </c>
    </row>
    <row r="777" spans="28:29" x14ac:dyDescent="0.35">
      <c r="AB777" s="26">
        <v>774</v>
      </c>
      <c r="AC777" s="26">
        <v>10721</v>
      </c>
    </row>
    <row r="778" spans="28:29" x14ac:dyDescent="0.35">
      <c r="AB778" s="44">
        <v>775</v>
      </c>
      <c r="AC778" s="26">
        <v>10740.5</v>
      </c>
    </row>
    <row r="779" spans="28:29" x14ac:dyDescent="0.35">
      <c r="AB779" s="26">
        <v>776</v>
      </c>
      <c r="AC779" s="26">
        <v>10760</v>
      </c>
    </row>
    <row r="780" spans="28:29" x14ac:dyDescent="0.35">
      <c r="AB780" s="26">
        <v>777</v>
      </c>
      <c r="AC780" s="26">
        <v>10779.25</v>
      </c>
    </row>
    <row r="781" spans="28:29" x14ac:dyDescent="0.35">
      <c r="AB781" s="44">
        <v>778</v>
      </c>
      <c r="AC781" s="26">
        <v>10798.5</v>
      </c>
    </row>
    <row r="782" spans="28:29" x14ac:dyDescent="0.35">
      <c r="AB782" s="26">
        <v>779</v>
      </c>
      <c r="AC782" s="26">
        <v>10817.75</v>
      </c>
    </row>
    <row r="783" spans="28:29" x14ac:dyDescent="0.35">
      <c r="AB783" s="44">
        <v>780</v>
      </c>
      <c r="AC783" s="26">
        <v>10837</v>
      </c>
    </row>
    <row r="784" spans="28:29" x14ac:dyDescent="0.35">
      <c r="AB784" s="26">
        <v>781</v>
      </c>
      <c r="AC784" s="26">
        <v>10856.5</v>
      </c>
    </row>
    <row r="785" spans="28:29" x14ac:dyDescent="0.35">
      <c r="AB785" s="44">
        <v>782</v>
      </c>
      <c r="AC785" s="26">
        <v>10876</v>
      </c>
    </row>
    <row r="786" spans="28:29" x14ac:dyDescent="0.35">
      <c r="AB786" s="26">
        <v>783</v>
      </c>
      <c r="AC786" s="26">
        <v>10895.5</v>
      </c>
    </row>
    <row r="787" spans="28:29" x14ac:dyDescent="0.35">
      <c r="AB787" s="26">
        <v>784</v>
      </c>
      <c r="AC787" s="26">
        <v>10915</v>
      </c>
    </row>
    <row r="788" spans="28:29" x14ac:dyDescent="0.35">
      <c r="AB788" s="44">
        <v>785</v>
      </c>
      <c r="AC788" s="26">
        <v>10934.5</v>
      </c>
    </row>
    <row r="789" spans="28:29" x14ac:dyDescent="0.35">
      <c r="AB789" s="26">
        <v>786</v>
      </c>
      <c r="AC789" s="26">
        <v>10954</v>
      </c>
    </row>
    <row r="790" spans="28:29" x14ac:dyDescent="0.35">
      <c r="AB790" s="44">
        <v>787</v>
      </c>
      <c r="AC790" s="26">
        <v>10973.5</v>
      </c>
    </row>
    <row r="791" spans="28:29" x14ac:dyDescent="0.35">
      <c r="AB791" s="26">
        <v>788</v>
      </c>
      <c r="AC791" s="26">
        <v>10993</v>
      </c>
    </row>
    <row r="792" spans="28:29" x14ac:dyDescent="0.35">
      <c r="AB792" s="44">
        <v>789</v>
      </c>
      <c r="AC792" s="26">
        <v>11013.25</v>
      </c>
    </row>
    <row r="793" spans="28:29" x14ac:dyDescent="0.35">
      <c r="AB793" s="26">
        <v>790</v>
      </c>
      <c r="AC793" s="26">
        <v>11033.5</v>
      </c>
    </row>
    <row r="794" spans="28:29" x14ac:dyDescent="0.35">
      <c r="AB794" s="26">
        <v>791</v>
      </c>
      <c r="AC794" s="26">
        <v>11053.75</v>
      </c>
    </row>
    <row r="795" spans="28:29" x14ac:dyDescent="0.35">
      <c r="AB795" s="44">
        <v>792</v>
      </c>
      <c r="AC795" s="26">
        <v>11074</v>
      </c>
    </row>
    <row r="796" spans="28:29" x14ac:dyDescent="0.35">
      <c r="AB796" s="26">
        <v>793</v>
      </c>
      <c r="AC796" s="26">
        <v>11092.75</v>
      </c>
    </row>
    <row r="797" spans="28:29" x14ac:dyDescent="0.35">
      <c r="AB797" s="44">
        <v>794</v>
      </c>
      <c r="AC797" s="26">
        <v>11111.5</v>
      </c>
    </row>
    <row r="798" spans="28:29" x14ac:dyDescent="0.35">
      <c r="AB798" s="26">
        <v>795</v>
      </c>
      <c r="AC798" s="26">
        <v>11130.25</v>
      </c>
    </row>
    <row r="799" spans="28:29" x14ac:dyDescent="0.35">
      <c r="AB799" s="44">
        <v>796</v>
      </c>
      <c r="AC799" s="26">
        <v>11149</v>
      </c>
    </row>
    <row r="800" spans="28:29" x14ac:dyDescent="0.35">
      <c r="AB800" s="26">
        <v>797</v>
      </c>
      <c r="AC800" s="26">
        <v>11168.5</v>
      </c>
    </row>
    <row r="801" spans="28:29" x14ac:dyDescent="0.35">
      <c r="AB801" s="26">
        <v>798</v>
      </c>
      <c r="AC801" s="26">
        <v>11188</v>
      </c>
    </row>
    <row r="802" spans="28:29" x14ac:dyDescent="0.35">
      <c r="AB802" s="44">
        <v>799</v>
      </c>
      <c r="AC802" s="26">
        <v>11207.5</v>
      </c>
    </row>
    <row r="803" spans="28:29" x14ac:dyDescent="0.35">
      <c r="AB803" s="26">
        <v>800</v>
      </c>
      <c r="AC803" s="26">
        <v>11227</v>
      </c>
    </row>
    <row r="804" spans="28:29" x14ac:dyDescent="0.35">
      <c r="AB804" s="44">
        <v>801</v>
      </c>
      <c r="AC804" s="26">
        <v>11246.5</v>
      </c>
    </row>
    <row r="805" spans="28:29" x14ac:dyDescent="0.35">
      <c r="AB805" s="26">
        <v>802</v>
      </c>
      <c r="AC805" s="26">
        <v>11266</v>
      </c>
    </row>
    <row r="806" spans="28:29" x14ac:dyDescent="0.35">
      <c r="AB806" s="44">
        <v>803</v>
      </c>
      <c r="AC806" s="26">
        <v>11285.5</v>
      </c>
    </row>
    <row r="807" spans="28:29" x14ac:dyDescent="0.35">
      <c r="AB807" s="26">
        <v>804</v>
      </c>
      <c r="AC807" s="26">
        <v>11305</v>
      </c>
    </row>
    <row r="808" spans="28:29" x14ac:dyDescent="0.35">
      <c r="AB808" s="26">
        <v>805</v>
      </c>
      <c r="AC808" s="26">
        <v>11324.75</v>
      </c>
    </row>
    <row r="809" spans="28:29" x14ac:dyDescent="0.35">
      <c r="AB809" s="44">
        <v>806</v>
      </c>
      <c r="AC809" s="26">
        <v>11344.5</v>
      </c>
    </row>
    <row r="810" spans="28:29" x14ac:dyDescent="0.35">
      <c r="AB810" s="26">
        <v>807</v>
      </c>
      <c r="AC810" s="26">
        <v>11364.25</v>
      </c>
    </row>
    <row r="811" spans="28:29" x14ac:dyDescent="0.35">
      <c r="AB811" s="44">
        <v>808</v>
      </c>
      <c r="AC811" s="26">
        <v>11384</v>
      </c>
    </row>
    <row r="812" spans="28:29" x14ac:dyDescent="0.35">
      <c r="AB812" s="26">
        <v>809</v>
      </c>
      <c r="AC812" s="26">
        <v>11403.5</v>
      </c>
    </row>
    <row r="813" spans="28:29" x14ac:dyDescent="0.35">
      <c r="AB813" s="44">
        <v>810</v>
      </c>
      <c r="AC813" s="26">
        <v>11423</v>
      </c>
    </row>
    <row r="814" spans="28:29" x14ac:dyDescent="0.35">
      <c r="AB814" s="26">
        <v>811</v>
      </c>
      <c r="AC814" s="26">
        <v>11442.5</v>
      </c>
    </row>
    <row r="815" spans="28:29" x14ac:dyDescent="0.35">
      <c r="AB815" s="26">
        <v>812</v>
      </c>
      <c r="AC815" s="26">
        <v>11462</v>
      </c>
    </row>
    <row r="816" spans="28:29" x14ac:dyDescent="0.35">
      <c r="AB816" s="44">
        <v>813</v>
      </c>
      <c r="AC816" s="26">
        <v>11481.75</v>
      </c>
    </row>
    <row r="817" spans="28:29" x14ac:dyDescent="0.35">
      <c r="AB817" s="26">
        <v>814</v>
      </c>
      <c r="AC817" s="26">
        <v>11501.5</v>
      </c>
    </row>
    <row r="818" spans="28:29" x14ac:dyDescent="0.35">
      <c r="AB818" s="44">
        <v>815</v>
      </c>
      <c r="AC818" s="26">
        <v>11521.25</v>
      </c>
    </row>
    <row r="819" spans="28:29" x14ac:dyDescent="0.35">
      <c r="AB819" s="26">
        <v>816</v>
      </c>
      <c r="AC819" s="26">
        <v>11541</v>
      </c>
    </row>
    <row r="820" spans="28:29" x14ac:dyDescent="0.35">
      <c r="AB820" s="44">
        <v>817</v>
      </c>
      <c r="AC820" s="26">
        <v>11560.75</v>
      </c>
    </row>
    <row r="821" spans="28:29" x14ac:dyDescent="0.35">
      <c r="AB821" s="26">
        <v>818</v>
      </c>
      <c r="AC821" s="26">
        <v>11580.5</v>
      </c>
    </row>
    <row r="822" spans="28:29" x14ac:dyDescent="0.35">
      <c r="AB822" s="26">
        <v>819</v>
      </c>
      <c r="AC822" s="26">
        <v>11600.25</v>
      </c>
    </row>
    <row r="823" spans="28:29" x14ac:dyDescent="0.35">
      <c r="AB823" s="44">
        <v>820</v>
      </c>
      <c r="AC823" s="26">
        <v>11620</v>
      </c>
    </row>
    <row r="824" spans="28:29" x14ac:dyDescent="0.35">
      <c r="AB824" s="26">
        <v>821</v>
      </c>
      <c r="AC824" s="26">
        <v>11639.75</v>
      </c>
    </row>
    <row r="825" spans="28:29" x14ac:dyDescent="0.35">
      <c r="AB825" s="44">
        <v>822</v>
      </c>
      <c r="AC825" s="26">
        <v>11659.5</v>
      </c>
    </row>
    <row r="826" spans="28:29" x14ac:dyDescent="0.35">
      <c r="AB826" s="26">
        <v>823</v>
      </c>
      <c r="AC826" s="26">
        <v>11679.25</v>
      </c>
    </row>
    <row r="827" spans="28:29" x14ac:dyDescent="0.35">
      <c r="AB827" s="44">
        <v>824</v>
      </c>
      <c r="AC827" s="26">
        <v>11699</v>
      </c>
    </row>
    <row r="828" spans="28:29" x14ac:dyDescent="0.35">
      <c r="AB828" s="26">
        <v>825</v>
      </c>
      <c r="AC828" s="26">
        <v>11718.75</v>
      </c>
    </row>
    <row r="829" spans="28:29" x14ac:dyDescent="0.35">
      <c r="AB829" s="26">
        <v>826</v>
      </c>
      <c r="AC829" s="26">
        <v>11738.5</v>
      </c>
    </row>
    <row r="830" spans="28:29" x14ac:dyDescent="0.35">
      <c r="AB830" s="44">
        <v>827</v>
      </c>
      <c r="AC830" s="26">
        <v>11758.25</v>
      </c>
    </row>
    <row r="831" spans="28:29" x14ac:dyDescent="0.35">
      <c r="AB831" s="26">
        <v>828</v>
      </c>
      <c r="AC831" s="26">
        <v>11778</v>
      </c>
    </row>
    <row r="832" spans="28:29" x14ac:dyDescent="0.35">
      <c r="AB832" s="44">
        <v>829</v>
      </c>
      <c r="AC832" s="26">
        <v>11797.75</v>
      </c>
    </row>
    <row r="833" spans="28:29" x14ac:dyDescent="0.35">
      <c r="AB833" s="26">
        <v>830</v>
      </c>
      <c r="AC833" s="26">
        <v>11817.5</v>
      </c>
    </row>
    <row r="834" spans="28:29" x14ac:dyDescent="0.35">
      <c r="AB834" s="44">
        <v>831</v>
      </c>
      <c r="AC834" s="26">
        <v>11837.25</v>
      </c>
    </row>
    <row r="835" spans="28:29" x14ac:dyDescent="0.35">
      <c r="AB835" s="26">
        <v>832</v>
      </c>
      <c r="AC835" s="26">
        <v>11857</v>
      </c>
    </row>
    <row r="836" spans="28:29" x14ac:dyDescent="0.35">
      <c r="AB836" s="26">
        <v>833</v>
      </c>
      <c r="AC836" s="26">
        <v>11876.75</v>
      </c>
    </row>
    <row r="837" spans="28:29" x14ac:dyDescent="0.35">
      <c r="AB837" s="44">
        <v>834</v>
      </c>
      <c r="AC837" s="26">
        <v>11896.5</v>
      </c>
    </row>
    <row r="838" spans="28:29" x14ac:dyDescent="0.35">
      <c r="AB838" s="26">
        <v>835</v>
      </c>
      <c r="AC838" s="26">
        <v>11916.25</v>
      </c>
    </row>
    <row r="839" spans="28:29" x14ac:dyDescent="0.35">
      <c r="AB839" s="44">
        <v>836</v>
      </c>
      <c r="AC839" s="26">
        <v>11936</v>
      </c>
    </row>
    <row r="840" spans="28:29" x14ac:dyDescent="0.35">
      <c r="AB840" s="26">
        <v>837</v>
      </c>
      <c r="AC840" s="26">
        <v>11955.75</v>
      </c>
    </row>
    <row r="841" spans="28:29" x14ac:dyDescent="0.35">
      <c r="AB841" s="44">
        <v>838</v>
      </c>
      <c r="AC841" s="26">
        <v>11975.5</v>
      </c>
    </row>
    <row r="842" spans="28:29" x14ac:dyDescent="0.35">
      <c r="AB842" s="26">
        <v>839</v>
      </c>
      <c r="AC842" s="26">
        <v>11995.25</v>
      </c>
    </row>
    <row r="843" spans="28:29" x14ac:dyDescent="0.35">
      <c r="AB843" s="26">
        <v>840</v>
      </c>
      <c r="AC843" s="26">
        <v>12015</v>
      </c>
    </row>
    <row r="844" spans="28:29" x14ac:dyDescent="0.35">
      <c r="AB844" s="44">
        <v>841</v>
      </c>
      <c r="AC844" s="26">
        <v>12035</v>
      </c>
    </row>
    <row r="845" spans="28:29" x14ac:dyDescent="0.35">
      <c r="AB845" s="26">
        <v>842</v>
      </c>
      <c r="AC845" s="26">
        <v>12055</v>
      </c>
    </row>
    <row r="846" spans="28:29" x14ac:dyDescent="0.35">
      <c r="AB846" s="44">
        <v>843</v>
      </c>
      <c r="AC846" s="26">
        <v>12075</v>
      </c>
    </row>
    <row r="847" spans="28:29" x14ac:dyDescent="0.35">
      <c r="AB847" s="26">
        <v>844</v>
      </c>
      <c r="AC847" s="26">
        <v>12095</v>
      </c>
    </row>
    <row r="848" spans="28:29" x14ac:dyDescent="0.35">
      <c r="AB848" s="44">
        <v>845</v>
      </c>
      <c r="AC848" s="26">
        <v>12114.75</v>
      </c>
    </row>
    <row r="849" spans="28:29" x14ac:dyDescent="0.35">
      <c r="AB849" s="26">
        <v>846</v>
      </c>
      <c r="AC849" s="26">
        <v>12134.5</v>
      </c>
    </row>
    <row r="850" spans="28:29" x14ac:dyDescent="0.35">
      <c r="AB850" s="26">
        <v>847</v>
      </c>
      <c r="AC850" s="26">
        <v>12154.25</v>
      </c>
    </row>
    <row r="851" spans="28:29" x14ac:dyDescent="0.35">
      <c r="AB851" s="44">
        <v>848</v>
      </c>
      <c r="AC851" s="26">
        <v>12174</v>
      </c>
    </row>
    <row r="852" spans="28:29" x14ac:dyDescent="0.35">
      <c r="AB852" s="26">
        <v>849</v>
      </c>
      <c r="AC852" s="26">
        <v>12194</v>
      </c>
    </row>
    <row r="853" spans="28:29" x14ac:dyDescent="0.35">
      <c r="AB853" s="44">
        <v>850</v>
      </c>
      <c r="AC853" s="26">
        <v>12214</v>
      </c>
    </row>
    <row r="854" spans="28:29" x14ac:dyDescent="0.35">
      <c r="AB854" s="26">
        <v>851</v>
      </c>
      <c r="AC854" s="26">
        <v>12234</v>
      </c>
    </row>
    <row r="855" spans="28:29" x14ac:dyDescent="0.35">
      <c r="AB855" s="44">
        <v>852</v>
      </c>
      <c r="AC855" s="26">
        <v>12254</v>
      </c>
    </row>
    <row r="856" spans="28:29" x14ac:dyDescent="0.35">
      <c r="AB856" s="26">
        <v>853</v>
      </c>
      <c r="AC856" s="26">
        <v>12273.75</v>
      </c>
    </row>
    <row r="857" spans="28:29" x14ac:dyDescent="0.35">
      <c r="AB857" s="26">
        <v>854</v>
      </c>
      <c r="AC857" s="26">
        <v>12293.5</v>
      </c>
    </row>
    <row r="858" spans="28:29" x14ac:dyDescent="0.35">
      <c r="AB858" s="44">
        <v>855</v>
      </c>
      <c r="AC858" s="26">
        <v>12313.25</v>
      </c>
    </row>
    <row r="859" spans="28:29" x14ac:dyDescent="0.35">
      <c r="AB859" s="26">
        <v>856</v>
      </c>
      <c r="AC859" s="26">
        <v>12333</v>
      </c>
    </row>
    <row r="860" spans="28:29" x14ac:dyDescent="0.35">
      <c r="AB860" s="44">
        <v>857</v>
      </c>
      <c r="AC860" s="26">
        <v>12353</v>
      </c>
    </row>
    <row r="861" spans="28:29" x14ac:dyDescent="0.35">
      <c r="AB861" s="26">
        <v>858</v>
      </c>
      <c r="AC861" s="26">
        <v>12373</v>
      </c>
    </row>
    <row r="862" spans="28:29" x14ac:dyDescent="0.35">
      <c r="AB862" s="44">
        <v>859</v>
      </c>
      <c r="AC862" s="26">
        <v>12393</v>
      </c>
    </row>
    <row r="863" spans="28:29" x14ac:dyDescent="0.35">
      <c r="AB863" s="26">
        <v>860</v>
      </c>
      <c r="AC863" s="26">
        <v>12413</v>
      </c>
    </row>
    <row r="864" spans="28:29" x14ac:dyDescent="0.35">
      <c r="AB864" s="26">
        <v>861</v>
      </c>
      <c r="AC864" s="26">
        <v>12433</v>
      </c>
    </row>
    <row r="865" spans="28:29" x14ac:dyDescent="0.35">
      <c r="AB865" s="44">
        <v>862</v>
      </c>
      <c r="AC865" s="26">
        <v>12453</v>
      </c>
    </row>
    <row r="866" spans="28:29" x14ac:dyDescent="0.35">
      <c r="AB866" s="26">
        <v>863</v>
      </c>
      <c r="AC866" s="26">
        <v>12473</v>
      </c>
    </row>
    <row r="867" spans="28:29" x14ac:dyDescent="0.35">
      <c r="AB867" s="44">
        <v>864</v>
      </c>
      <c r="AC867" s="26">
        <v>12493</v>
      </c>
    </row>
    <row r="868" spans="28:29" x14ac:dyDescent="0.35">
      <c r="AB868" s="26">
        <v>865</v>
      </c>
      <c r="AC868" s="26">
        <v>12513</v>
      </c>
    </row>
    <row r="869" spans="28:29" x14ac:dyDescent="0.35">
      <c r="AB869" s="44">
        <v>866</v>
      </c>
      <c r="AC869" s="26">
        <v>12533</v>
      </c>
    </row>
    <row r="870" spans="28:29" x14ac:dyDescent="0.35">
      <c r="AB870" s="26">
        <v>867</v>
      </c>
      <c r="AC870" s="26">
        <v>12553</v>
      </c>
    </row>
    <row r="871" spans="28:29" x14ac:dyDescent="0.35">
      <c r="AB871" s="26">
        <v>868</v>
      </c>
      <c r="AC871" s="26">
        <v>12573</v>
      </c>
    </row>
    <row r="872" spans="28:29" x14ac:dyDescent="0.35">
      <c r="AB872" s="44">
        <v>869</v>
      </c>
      <c r="AC872" s="26">
        <v>12593</v>
      </c>
    </row>
    <row r="873" spans="28:29" x14ac:dyDescent="0.35">
      <c r="AB873" s="26">
        <v>870</v>
      </c>
      <c r="AC873" s="26">
        <v>12613</v>
      </c>
    </row>
    <row r="874" spans="28:29" x14ac:dyDescent="0.35">
      <c r="AB874" s="44">
        <v>871</v>
      </c>
      <c r="AC874" s="26">
        <v>12633</v>
      </c>
    </row>
    <row r="875" spans="28:29" x14ac:dyDescent="0.35">
      <c r="AB875" s="26">
        <v>872</v>
      </c>
      <c r="AC875" s="26">
        <v>12653</v>
      </c>
    </row>
    <row r="876" spans="28:29" x14ac:dyDescent="0.35">
      <c r="AB876" s="44">
        <v>873</v>
      </c>
      <c r="AC876" s="26">
        <v>12673</v>
      </c>
    </row>
    <row r="877" spans="28:29" x14ac:dyDescent="0.35">
      <c r="AB877" s="26">
        <v>874</v>
      </c>
      <c r="AC877" s="26">
        <v>12693</v>
      </c>
    </row>
    <row r="878" spans="28:29" x14ac:dyDescent="0.35">
      <c r="AB878" s="26">
        <v>875</v>
      </c>
      <c r="AC878" s="26">
        <v>12713</v>
      </c>
    </row>
    <row r="879" spans="28:29" x14ac:dyDescent="0.35">
      <c r="AB879" s="44">
        <v>876</v>
      </c>
      <c r="AC879" s="26">
        <v>12733</v>
      </c>
    </row>
    <row r="880" spans="28:29" x14ac:dyDescent="0.35">
      <c r="AB880" s="26">
        <v>877</v>
      </c>
      <c r="AC880" s="26">
        <v>12753.25</v>
      </c>
    </row>
    <row r="881" spans="28:29" x14ac:dyDescent="0.35">
      <c r="AB881" s="44">
        <v>878</v>
      </c>
      <c r="AC881" s="26">
        <v>12773.5</v>
      </c>
    </row>
    <row r="882" spans="28:29" x14ac:dyDescent="0.35">
      <c r="AB882" s="26">
        <v>879</v>
      </c>
      <c r="AC882" s="26">
        <v>12793.75</v>
      </c>
    </row>
    <row r="883" spans="28:29" x14ac:dyDescent="0.35">
      <c r="AB883" s="44">
        <v>880</v>
      </c>
      <c r="AC883" s="26">
        <v>12814</v>
      </c>
    </row>
    <row r="884" spans="28:29" x14ac:dyDescent="0.35">
      <c r="AB884" s="26">
        <v>881</v>
      </c>
      <c r="AC884" s="26">
        <v>12834</v>
      </c>
    </row>
    <row r="885" spans="28:29" x14ac:dyDescent="0.35">
      <c r="AB885" s="26">
        <v>882</v>
      </c>
      <c r="AC885" s="26">
        <v>12854</v>
      </c>
    </row>
    <row r="886" spans="28:29" x14ac:dyDescent="0.35">
      <c r="AB886" s="44">
        <v>883</v>
      </c>
      <c r="AC886" s="26">
        <v>12874</v>
      </c>
    </row>
    <row r="887" spans="28:29" x14ac:dyDescent="0.35">
      <c r="AB887" s="26">
        <v>884</v>
      </c>
      <c r="AC887" s="26">
        <v>12894</v>
      </c>
    </row>
    <row r="888" spans="28:29" x14ac:dyDescent="0.35">
      <c r="AB888" s="44">
        <v>885</v>
      </c>
      <c r="AC888" s="26">
        <v>12914.25</v>
      </c>
    </row>
    <row r="889" spans="28:29" x14ac:dyDescent="0.35">
      <c r="AB889" s="26">
        <v>886</v>
      </c>
      <c r="AC889" s="26">
        <v>12934.5</v>
      </c>
    </row>
    <row r="890" spans="28:29" x14ac:dyDescent="0.35">
      <c r="AB890" s="44">
        <v>887</v>
      </c>
      <c r="AC890" s="26">
        <v>12954.75</v>
      </c>
    </row>
    <row r="891" spans="28:29" x14ac:dyDescent="0.35">
      <c r="AB891" s="26">
        <v>888</v>
      </c>
      <c r="AC891" s="26">
        <v>12975</v>
      </c>
    </row>
    <row r="892" spans="28:29" x14ac:dyDescent="0.35">
      <c r="AB892" s="26">
        <v>889</v>
      </c>
      <c r="AC892" s="26">
        <v>12995</v>
      </c>
    </row>
    <row r="893" spans="28:29" x14ac:dyDescent="0.35">
      <c r="AB893" s="44">
        <v>890</v>
      </c>
      <c r="AC893" s="26">
        <v>13015</v>
      </c>
    </row>
    <row r="894" spans="28:29" x14ac:dyDescent="0.35">
      <c r="AB894" s="26">
        <v>891</v>
      </c>
      <c r="AC894" s="26">
        <v>13035</v>
      </c>
    </row>
    <row r="895" spans="28:29" x14ac:dyDescent="0.35">
      <c r="AB895" s="44">
        <v>892</v>
      </c>
      <c r="AC895" s="26">
        <v>13055</v>
      </c>
    </row>
    <row r="896" spans="28:29" x14ac:dyDescent="0.35">
      <c r="AB896" s="26">
        <v>893</v>
      </c>
      <c r="AC896" s="26">
        <v>13075.25</v>
      </c>
    </row>
    <row r="897" spans="28:29" x14ac:dyDescent="0.35">
      <c r="AB897" s="44">
        <v>894</v>
      </c>
      <c r="AC897" s="26">
        <v>13095.5</v>
      </c>
    </row>
    <row r="898" spans="28:29" x14ac:dyDescent="0.35">
      <c r="AB898" s="26">
        <v>895</v>
      </c>
      <c r="AC898" s="26">
        <v>13115.75</v>
      </c>
    </row>
    <row r="899" spans="28:29" x14ac:dyDescent="0.35">
      <c r="AB899" s="26">
        <v>896</v>
      </c>
      <c r="AC899" s="26">
        <v>13136</v>
      </c>
    </row>
    <row r="900" spans="28:29" x14ac:dyDescent="0.35">
      <c r="AB900" s="44">
        <v>897</v>
      </c>
      <c r="AC900" s="26">
        <v>13156.25</v>
      </c>
    </row>
    <row r="901" spans="28:29" x14ac:dyDescent="0.35">
      <c r="AB901" s="26">
        <v>898</v>
      </c>
      <c r="AC901" s="26">
        <v>13176.5</v>
      </c>
    </row>
    <row r="902" spans="28:29" x14ac:dyDescent="0.35">
      <c r="AB902" s="44">
        <v>899</v>
      </c>
      <c r="AC902" s="26">
        <v>13196.75</v>
      </c>
    </row>
    <row r="903" spans="28:29" x14ac:dyDescent="0.35">
      <c r="AB903" s="26">
        <v>900</v>
      </c>
      <c r="AC903" s="26">
        <v>13217</v>
      </c>
    </row>
    <row r="904" spans="28:29" x14ac:dyDescent="0.35">
      <c r="AB904" s="44">
        <v>901</v>
      </c>
      <c r="AC904" s="26">
        <v>13237.25</v>
      </c>
    </row>
    <row r="905" spans="28:29" x14ac:dyDescent="0.35">
      <c r="AB905" s="26">
        <v>902</v>
      </c>
      <c r="AC905" s="26">
        <v>13257.5</v>
      </c>
    </row>
    <row r="906" spans="28:29" x14ac:dyDescent="0.35">
      <c r="AB906" s="26">
        <v>903</v>
      </c>
      <c r="AC906" s="26">
        <v>13277.75</v>
      </c>
    </row>
    <row r="907" spans="28:29" x14ac:dyDescent="0.35">
      <c r="AB907" s="44">
        <v>904</v>
      </c>
      <c r="AC907" s="26">
        <v>13298</v>
      </c>
    </row>
    <row r="908" spans="28:29" x14ac:dyDescent="0.35">
      <c r="AB908" s="26">
        <v>905</v>
      </c>
      <c r="AC908" s="26">
        <v>13318.25</v>
      </c>
    </row>
    <row r="909" spans="28:29" x14ac:dyDescent="0.35">
      <c r="AB909" s="44">
        <v>906</v>
      </c>
      <c r="AC909" s="26">
        <v>13338.5</v>
      </c>
    </row>
    <row r="910" spans="28:29" x14ac:dyDescent="0.35">
      <c r="AB910" s="26">
        <v>907</v>
      </c>
      <c r="AC910" s="26">
        <v>13358.75</v>
      </c>
    </row>
    <row r="911" spans="28:29" x14ac:dyDescent="0.35">
      <c r="AB911" s="44">
        <v>908</v>
      </c>
      <c r="AC911" s="26">
        <v>13379</v>
      </c>
    </row>
    <row r="912" spans="28:29" x14ac:dyDescent="0.35">
      <c r="AB912" s="26">
        <v>909</v>
      </c>
      <c r="AC912" s="26">
        <v>13399.25</v>
      </c>
    </row>
    <row r="913" spans="28:29" x14ac:dyDescent="0.35">
      <c r="AB913" s="26">
        <v>910</v>
      </c>
      <c r="AC913" s="26">
        <v>13419.5</v>
      </c>
    </row>
    <row r="914" spans="28:29" x14ac:dyDescent="0.35">
      <c r="AB914" s="44">
        <v>911</v>
      </c>
      <c r="AC914" s="26">
        <v>13439.75</v>
      </c>
    </row>
    <row r="915" spans="28:29" x14ac:dyDescent="0.35">
      <c r="AB915" s="26">
        <v>912</v>
      </c>
      <c r="AC915" s="26">
        <v>13460</v>
      </c>
    </row>
    <row r="916" spans="28:29" x14ac:dyDescent="0.35">
      <c r="AB916" s="44">
        <v>913</v>
      </c>
      <c r="AC916" s="26">
        <v>13480.25</v>
      </c>
    </row>
    <row r="917" spans="28:29" x14ac:dyDescent="0.35">
      <c r="AB917" s="26">
        <v>914</v>
      </c>
      <c r="AC917" s="26">
        <v>13500.5</v>
      </c>
    </row>
    <row r="918" spans="28:29" x14ac:dyDescent="0.35">
      <c r="AB918" s="44">
        <v>915</v>
      </c>
      <c r="AC918" s="26">
        <v>13520.75</v>
      </c>
    </row>
    <row r="919" spans="28:29" x14ac:dyDescent="0.35">
      <c r="AB919" s="26">
        <v>916</v>
      </c>
      <c r="AC919" s="26">
        <v>13541</v>
      </c>
    </row>
    <row r="920" spans="28:29" x14ac:dyDescent="0.35">
      <c r="AB920" s="26">
        <v>917</v>
      </c>
      <c r="AC920" s="26">
        <v>13561.25</v>
      </c>
    </row>
    <row r="921" spans="28:29" x14ac:dyDescent="0.35">
      <c r="AB921" s="44">
        <v>918</v>
      </c>
      <c r="AC921" s="26">
        <v>13581.5</v>
      </c>
    </row>
    <row r="922" spans="28:29" x14ac:dyDescent="0.35">
      <c r="AB922" s="26">
        <v>919</v>
      </c>
      <c r="AC922" s="26">
        <v>13601.75</v>
      </c>
    </row>
    <row r="923" spans="28:29" x14ac:dyDescent="0.35">
      <c r="AB923" s="44">
        <v>920</v>
      </c>
      <c r="AC923" s="26">
        <v>13622</v>
      </c>
    </row>
    <row r="924" spans="28:29" x14ac:dyDescent="0.35">
      <c r="AB924" s="26">
        <v>921</v>
      </c>
      <c r="AC924" s="26">
        <v>13642.25</v>
      </c>
    </row>
    <row r="925" spans="28:29" x14ac:dyDescent="0.35">
      <c r="AB925" s="44">
        <v>922</v>
      </c>
      <c r="AC925" s="26">
        <v>13662.5</v>
      </c>
    </row>
    <row r="926" spans="28:29" x14ac:dyDescent="0.35">
      <c r="AB926" s="26">
        <v>923</v>
      </c>
      <c r="AC926" s="26">
        <v>13682.75</v>
      </c>
    </row>
    <row r="927" spans="28:29" x14ac:dyDescent="0.35">
      <c r="AB927" s="26">
        <v>924</v>
      </c>
      <c r="AC927" s="26">
        <v>13703</v>
      </c>
    </row>
    <row r="928" spans="28:29" x14ac:dyDescent="0.35">
      <c r="AB928" s="44">
        <v>925</v>
      </c>
      <c r="AC928" s="26">
        <v>13723.5</v>
      </c>
    </row>
    <row r="929" spans="28:29" x14ac:dyDescent="0.35">
      <c r="AB929" s="26">
        <v>926</v>
      </c>
      <c r="AC929" s="26">
        <v>13744</v>
      </c>
    </row>
    <row r="930" spans="28:29" x14ac:dyDescent="0.35">
      <c r="AB930" s="44">
        <v>927</v>
      </c>
      <c r="AC930" s="26">
        <v>13764.5</v>
      </c>
    </row>
    <row r="931" spans="28:29" x14ac:dyDescent="0.35">
      <c r="AB931" s="26">
        <v>928</v>
      </c>
      <c r="AC931" s="26">
        <v>13785</v>
      </c>
    </row>
    <row r="932" spans="28:29" x14ac:dyDescent="0.35">
      <c r="AB932" s="44">
        <v>929</v>
      </c>
      <c r="AC932" s="26">
        <v>13805.25</v>
      </c>
    </row>
    <row r="933" spans="28:29" x14ac:dyDescent="0.35">
      <c r="AB933" s="26">
        <v>930</v>
      </c>
      <c r="AC933" s="26">
        <v>13825.5</v>
      </c>
    </row>
    <row r="934" spans="28:29" x14ac:dyDescent="0.35">
      <c r="AB934" s="26">
        <v>931</v>
      </c>
      <c r="AC934" s="26">
        <v>13845.75</v>
      </c>
    </row>
    <row r="935" spans="28:29" x14ac:dyDescent="0.35">
      <c r="AB935" s="44">
        <v>932</v>
      </c>
      <c r="AC935" s="26">
        <v>13866</v>
      </c>
    </row>
    <row r="936" spans="28:29" x14ac:dyDescent="0.35">
      <c r="AB936" s="26">
        <v>933</v>
      </c>
      <c r="AC936" s="26">
        <v>13886.5</v>
      </c>
    </row>
    <row r="937" spans="28:29" x14ac:dyDescent="0.35">
      <c r="AB937" s="44">
        <v>934</v>
      </c>
      <c r="AC937" s="26">
        <v>13907</v>
      </c>
    </row>
    <row r="938" spans="28:29" x14ac:dyDescent="0.35">
      <c r="AB938" s="26">
        <v>935</v>
      </c>
      <c r="AC938" s="26">
        <v>13927.5</v>
      </c>
    </row>
    <row r="939" spans="28:29" x14ac:dyDescent="0.35">
      <c r="AB939" s="44">
        <v>936</v>
      </c>
      <c r="AC939" s="26">
        <v>13948</v>
      </c>
    </row>
    <row r="940" spans="28:29" x14ac:dyDescent="0.35">
      <c r="AB940" s="26">
        <v>937</v>
      </c>
      <c r="AC940" s="26">
        <v>13968.5</v>
      </c>
    </row>
    <row r="941" spans="28:29" x14ac:dyDescent="0.35">
      <c r="AB941" s="26">
        <v>938</v>
      </c>
      <c r="AC941" s="26">
        <v>13989</v>
      </c>
    </row>
    <row r="942" spans="28:29" x14ac:dyDescent="0.35">
      <c r="AB942" s="44">
        <v>939</v>
      </c>
      <c r="AC942" s="26">
        <v>14009.5</v>
      </c>
    </row>
    <row r="943" spans="28:29" x14ac:dyDescent="0.35">
      <c r="AB943" s="26">
        <v>940</v>
      </c>
      <c r="AC943" s="26">
        <v>14030</v>
      </c>
    </row>
    <row r="944" spans="28:29" x14ac:dyDescent="0.35">
      <c r="AB944" s="44">
        <v>941</v>
      </c>
      <c r="AC944" s="26">
        <v>14050.25</v>
      </c>
    </row>
    <row r="945" spans="28:29" x14ac:dyDescent="0.35">
      <c r="AB945" s="26">
        <v>942</v>
      </c>
      <c r="AC945" s="26">
        <v>14070.5</v>
      </c>
    </row>
    <row r="946" spans="28:29" x14ac:dyDescent="0.35">
      <c r="AB946" s="44">
        <v>943</v>
      </c>
      <c r="AC946" s="26">
        <v>14090.75</v>
      </c>
    </row>
    <row r="947" spans="28:29" x14ac:dyDescent="0.35">
      <c r="AB947" s="26">
        <v>944</v>
      </c>
      <c r="AC947" s="26">
        <v>14111</v>
      </c>
    </row>
    <row r="948" spans="28:29" x14ac:dyDescent="0.35">
      <c r="AB948" s="26">
        <v>945</v>
      </c>
      <c r="AC948" s="26">
        <v>14131.5</v>
      </c>
    </row>
    <row r="949" spans="28:29" x14ac:dyDescent="0.35">
      <c r="AB949" s="44">
        <v>946</v>
      </c>
      <c r="AC949" s="26">
        <v>14152</v>
      </c>
    </row>
    <row r="950" spans="28:29" x14ac:dyDescent="0.35">
      <c r="AB950" s="26">
        <v>947</v>
      </c>
      <c r="AC950" s="26">
        <v>14172.5</v>
      </c>
    </row>
    <row r="951" spans="28:29" x14ac:dyDescent="0.35">
      <c r="AB951" s="44">
        <v>948</v>
      </c>
      <c r="AC951" s="26">
        <v>14193</v>
      </c>
    </row>
    <row r="952" spans="28:29" x14ac:dyDescent="0.35">
      <c r="AB952" s="26">
        <v>949</v>
      </c>
      <c r="AC952" s="26">
        <v>14213.5</v>
      </c>
    </row>
    <row r="953" spans="28:29" x14ac:dyDescent="0.35">
      <c r="AB953" s="44">
        <v>950</v>
      </c>
      <c r="AC953" s="26">
        <v>14234</v>
      </c>
    </row>
    <row r="954" spans="28:29" x14ac:dyDescent="0.35">
      <c r="AB954" s="26">
        <v>951</v>
      </c>
      <c r="AC954" s="26">
        <v>14254.5</v>
      </c>
    </row>
    <row r="955" spans="28:29" x14ac:dyDescent="0.35">
      <c r="AB955" s="26">
        <v>952</v>
      </c>
      <c r="AC955" s="26">
        <v>14275</v>
      </c>
    </row>
    <row r="956" spans="28:29" x14ac:dyDescent="0.35">
      <c r="AB956" s="44">
        <v>953</v>
      </c>
      <c r="AC956" s="26">
        <v>14295.5</v>
      </c>
    </row>
    <row r="957" spans="28:29" x14ac:dyDescent="0.35">
      <c r="AB957" s="26">
        <v>954</v>
      </c>
      <c r="AC957" s="26">
        <v>14316</v>
      </c>
    </row>
    <row r="958" spans="28:29" x14ac:dyDescent="0.35">
      <c r="AB958" s="44">
        <v>955</v>
      </c>
      <c r="AC958" s="26">
        <v>14336.5</v>
      </c>
    </row>
    <row r="959" spans="28:29" x14ac:dyDescent="0.35">
      <c r="AB959" s="26">
        <v>956</v>
      </c>
      <c r="AC959" s="26">
        <v>14357</v>
      </c>
    </row>
    <row r="960" spans="28:29" x14ac:dyDescent="0.35">
      <c r="AB960" s="44">
        <v>957</v>
      </c>
      <c r="AC960" s="26">
        <v>14377.5</v>
      </c>
    </row>
    <row r="961" spans="28:29" x14ac:dyDescent="0.35">
      <c r="AB961" s="26">
        <v>958</v>
      </c>
      <c r="AC961" s="26">
        <v>14398</v>
      </c>
    </row>
    <row r="962" spans="28:29" x14ac:dyDescent="0.35">
      <c r="AB962" s="26">
        <v>959</v>
      </c>
      <c r="AC962" s="26">
        <v>14418.5</v>
      </c>
    </row>
    <row r="963" spans="28:29" x14ac:dyDescent="0.35">
      <c r="AB963" s="44">
        <v>960</v>
      </c>
      <c r="AC963" s="26">
        <v>14439</v>
      </c>
    </row>
    <row r="964" spans="28:29" x14ac:dyDescent="0.35">
      <c r="AB964" s="26">
        <v>961</v>
      </c>
      <c r="AC964" s="26">
        <v>14459.5</v>
      </c>
    </row>
    <row r="965" spans="28:29" x14ac:dyDescent="0.35">
      <c r="AB965" s="44">
        <v>962</v>
      </c>
      <c r="AC965" s="26">
        <v>14480</v>
      </c>
    </row>
    <row r="966" spans="28:29" x14ac:dyDescent="0.35">
      <c r="AB966" s="26">
        <v>963</v>
      </c>
      <c r="AC966" s="26">
        <v>14500.5</v>
      </c>
    </row>
    <row r="967" spans="28:29" x14ac:dyDescent="0.35">
      <c r="AB967" s="44">
        <v>964</v>
      </c>
      <c r="AC967" s="26">
        <v>14521</v>
      </c>
    </row>
    <row r="968" spans="28:29" x14ac:dyDescent="0.35">
      <c r="AB968" s="26">
        <v>965</v>
      </c>
      <c r="AC968" s="26">
        <v>14541.5</v>
      </c>
    </row>
    <row r="969" spans="28:29" x14ac:dyDescent="0.35">
      <c r="AB969" s="26">
        <v>966</v>
      </c>
      <c r="AC969" s="26">
        <v>14562</v>
      </c>
    </row>
    <row r="970" spans="28:29" x14ac:dyDescent="0.35">
      <c r="AB970" s="44">
        <v>967</v>
      </c>
      <c r="AC970" s="26">
        <v>14582.5</v>
      </c>
    </row>
    <row r="971" spans="28:29" x14ac:dyDescent="0.35">
      <c r="AB971" s="26">
        <v>968</v>
      </c>
      <c r="AC971" s="26">
        <v>14603</v>
      </c>
    </row>
    <row r="972" spans="28:29" x14ac:dyDescent="0.35">
      <c r="AB972" s="44">
        <v>969</v>
      </c>
      <c r="AC972" s="26">
        <v>14623.75</v>
      </c>
    </row>
    <row r="973" spans="28:29" x14ac:dyDescent="0.35">
      <c r="AB973" s="26">
        <v>970</v>
      </c>
      <c r="AC973" s="26">
        <v>14644.5</v>
      </c>
    </row>
    <row r="974" spans="28:29" x14ac:dyDescent="0.35">
      <c r="AB974" s="44">
        <v>971</v>
      </c>
      <c r="AC974" s="26">
        <v>14665.25</v>
      </c>
    </row>
    <row r="975" spans="28:29" x14ac:dyDescent="0.35">
      <c r="AB975" s="26">
        <v>972</v>
      </c>
      <c r="AC975" s="26">
        <v>14686</v>
      </c>
    </row>
    <row r="976" spans="28:29" x14ac:dyDescent="0.35">
      <c r="AB976" s="26">
        <v>973</v>
      </c>
      <c r="AC976" s="26">
        <v>14706.5</v>
      </c>
    </row>
    <row r="977" spans="28:29" x14ac:dyDescent="0.35">
      <c r="AB977" s="44">
        <v>974</v>
      </c>
      <c r="AC977" s="26">
        <v>14727</v>
      </c>
    </row>
    <row r="978" spans="28:29" x14ac:dyDescent="0.35">
      <c r="AB978" s="26">
        <v>975</v>
      </c>
      <c r="AC978" s="26">
        <v>14747.5</v>
      </c>
    </row>
    <row r="979" spans="28:29" x14ac:dyDescent="0.35">
      <c r="AB979" s="44">
        <v>976</v>
      </c>
      <c r="AC979" s="26">
        <v>14768</v>
      </c>
    </row>
    <row r="980" spans="28:29" x14ac:dyDescent="0.35">
      <c r="AB980" s="26">
        <v>977</v>
      </c>
      <c r="AC980" s="26">
        <v>14788.75</v>
      </c>
    </row>
    <row r="981" spans="28:29" x14ac:dyDescent="0.35">
      <c r="AB981" s="44">
        <v>978</v>
      </c>
      <c r="AC981" s="26">
        <v>14809.5</v>
      </c>
    </row>
    <row r="982" spans="28:29" x14ac:dyDescent="0.35">
      <c r="AB982" s="26">
        <v>979</v>
      </c>
      <c r="AC982" s="26">
        <v>14830.25</v>
      </c>
    </row>
    <row r="983" spans="28:29" x14ac:dyDescent="0.35">
      <c r="AB983" s="26">
        <v>980</v>
      </c>
      <c r="AC983" s="26">
        <v>14851</v>
      </c>
    </row>
    <row r="984" spans="28:29" x14ac:dyDescent="0.35">
      <c r="AB984" s="44">
        <v>981</v>
      </c>
      <c r="AC984" s="26">
        <v>14871.5</v>
      </c>
    </row>
    <row r="985" spans="28:29" x14ac:dyDescent="0.35">
      <c r="AB985" s="26">
        <v>982</v>
      </c>
      <c r="AC985" s="26">
        <v>14892</v>
      </c>
    </row>
    <row r="986" spans="28:29" x14ac:dyDescent="0.35">
      <c r="AB986" s="44">
        <v>983</v>
      </c>
      <c r="AC986" s="26">
        <v>14912.5</v>
      </c>
    </row>
    <row r="987" spans="28:29" x14ac:dyDescent="0.35">
      <c r="AB987" s="26">
        <v>984</v>
      </c>
      <c r="AC987" s="26">
        <v>14933</v>
      </c>
    </row>
    <row r="988" spans="28:29" x14ac:dyDescent="0.35">
      <c r="AB988" s="44">
        <v>985</v>
      </c>
      <c r="AC988" s="26">
        <v>14953.75</v>
      </c>
    </row>
    <row r="989" spans="28:29" x14ac:dyDescent="0.35">
      <c r="AB989" s="26">
        <v>986</v>
      </c>
      <c r="AC989" s="26">
        <v>14974.5</v>
      </c>
    </row>
    <row r="990" spans="28:29" x14ac:dyDescent="0.35">
      <c r="AB990" s="26">
        <v>987</v>
      </c>
      <c r="AC990" s="26">
        <v>14995.25</v>
      </c>
    </row>
    <row r="991" spans="28:29" x14ac:dyDescent="0.35">
      <c r="AB991" s="44">
        <v>988</v>
      </c>
      <c r="AC991" s="26">
        <v>15016</v>
      </c>
    </row>
    <row r="992" spans="28:29" x14ac:dyDescent="0.35">
      <c r="AB992" s="26">
        <v>989</v>
      </c>
      <c r="AC992" s="26">
        <v>15036.5</v>
      </c>
    </row>
    <row r="993" spans="28:29" x14ac:dyDescent="0.35">
      <c r="AB993" s="44">
        <v>990</v>
      </c>
      <c r="AC993" s="26">
        <v>15057</v>
      </c>
    </row>
    <row r="994" spans="28:29" x14ac:dyDescent="0.35">
      <c r="AB994" s="26">
        <v>991</v>
      </c>
      <c r="AC994" s="26">
        <v>15077.5</v>
      </c>
    </row>
    <row r="995" spans="28:29" x14ac:dyDescent="0.35">
      <c r="AB995" s="44">
        <v>992</v>
      </c>
      <c r="AC995" s="26">
        <v>15098</v>
      </c>
    </row>
    <row r="996" spans="28:29" x14ac:dyDescent="0.35">
      <c r="AB996" s="26">
        <v>993</v>
      </c>
      <c r="AC996" s="26">
        <v>15118.75</v>
      </c>
    </row>
    <row r="997" spans="28:29" x14ac:dyDescent="0.35">
      <c r="AB997" s="26">
        <v>994</v>
      </c>
      <c r="AC997" s="26">
        <v>15139.5</v>
      </c>
    </row>
    <row r="998" spans="28:29" x14ac:dyDescent="0.35">
      <c r="AB998" s="44">
        <v>995</v>
      </c>
      <c r="AC998" s="26">
        <v>15160.25</v>
      </c>
    </row>
    <row r="999" spans="28:29" x14ac:dyDescent="0.35">
      <c r="AB999" s="26">
        <v>996</v>
      </c>
      <c r="AC999" s="26">
        <v>15181</v>
      </c>
    </row>
    <row r="1000" spans="28:29" x14ac:dyDescent="0.35">
      <c r="AB1000" s="44">
        <v>997</v>
      </c>
      <c r="AC1000" s="26">
        <v>15201.75</v>
      </c>
    </row>
    <row r="1001" spans="28:29" x14ac:dyDescent="0.35">
      <c r="AB1001" s="26">
        <v>998</v>
      </c>
      <c r="AC1001" s="26">
        <v>15222.5</v>
      </c>
    </row>
    <row r="1002" spans="28:29" x14ac:dyDescent="0.35">
      <c r="AB1002" s="44">
        <v>999</v>
      </c>
      <c r="AC1002" s="26">
        <v>15243.25</v>
      </c>
    </row>
    <row r="1003" spans="28:29" x14ac:dyDescent="0.35">
      <c r="AB1003" s="26">
        <v>1000</v>
      </c>
      <c r="AC1003" s="26">
        <v>15264</v>
      </c>
    </row>
    <row r="1004" spans="28:29" x14ac:dyDescent="0.35">
      <c r="AB1004" s="26">
        <v>1001</v>
      </c>
      <c r="AC1004" s="26">
        <v>15284.75</v>
      </c>
    </row>
    <row r="1005" spans="28:29" x14ac:dyDescent="0.35">
      <c r="AB1005" s="44">
        <v>1002</v>
      </c>
      <c r="AC1005" s="26">
        <v>15305.5</v>
      </c>
    </row>
    <row r="1006" spans="28:29" x14ac:dyDescent="0.35">
      <c r="AB1006" s="26">
        <v>1003</v>
      </c>
      <c r="AC1006" s="26">
        <v>15326.25</v>
      </c>
    </row>
    <row r="1007" spans="28:29" x14ac:dyDescent="0.35">
      <c r="AB1007" s="44">
        <v>1004</v>
      </c>
      <c r="AC1007" s="26">
        <v>15347</v>
      </c>
    </row>
    <row r="1008" spans="28:29" x14ac:dyDescent="0.35">
      <c r="AB1008" s="26">
        <v>1005</v>
      </c>
      <c r="AC1008" s="26">
        <v>15367.75</v>
      </c>
    </row>
    <row r="1009" spans="28:29" x14ac:dyDescent="0.35">
      <c r="AB1009" s="44">
        <v>1006</v>
      </c>
      <c r="AC1009" s="26">
        <v>15388.5</v>
      </c>
    </row>
    <row r="1010" spans="28:29" x14ac:dyDescent="0.35">
      <c r="AB1010" s="26">
        <v>1007</v>
      </c>
      <c r="AC1010" s="26">
        <v>15409.25</v>
      </c>
    </row>
    <row r="1011" spans="28:29" x14ac:dyDescent="0.35">
      <c r="AB1011" s="26">
        <v>1008</v>
      </c>
      <c r="AC1011" s="26">
        <v>15430</v>
      </c>
    </row>
    <row r="1012" spans="28:29" x14ac:dyDescent="0.35">
      <c r="AB1012" s="44">
        <v>1009</v>
      </c>
      <c r="AC1012" s="26">
        <v>15450.75</v>
      </c>
    </row>
    <row r="1013" spans="28:29" x14ac:dyDescent="0.35">
      <c r="AB1013" s="26">
        <v>1010</v>
      </c>
      <c r="AC1013" s="26">
        <v>15471.5</v>
      </c>
    </row>
    <row r="1014" spans="28:29" x14ac:dyDescent="0.35">
      <c r="AB1014" s="44">
        <v>1011</v>
      </c>
      <c r="AC1014" s="26">
        <v>15492.25</v>
      </c>
    </row>
    <row r="1015" spans="28:29" x14ac:dyDescent="0.35">
      <c r="AB1015" s="26">
        <v>1012</v>
      </c>
      <c r="AC1015" s="26">
        <v>15513</v>
      </c>
    </row>
    <row r="1016" spans="28:29" x14ac:dyDescent="0.35">
      <c r="AB1016" s="44">
        <v>1013</v>
      </c>
      <c r="AC1016" s="26">
        <v>15533.75</v>
      </c>
    </row>
    <row r="1017" spans="28:29" x14ac:dyDescent="0.35">
      <c r="AB1017" s="26">
        <v>1014</v>
      </c>
      <c r="AC1017" s="26">
        <v>15554.5</v>
      </c>
    </row>
    <row r="1018" spans="28:29" x14ac:dyDescent="0.35">
      <c r="AB1018" s="26">
        <v>1015</v>
      </c>
      <c r="AC1018" s="26">
        <v>15575.25</v>
      </c>
    </row>
    <row r="1019" spans="28:29" x14ac:dyDescent="0.35">
      <c r="AB1019" s="44">
        <v>1016</v>
      </c>
      <c r="AC1019" s="26">
        <v>15596</v>
      </c>
    </row>
    <row r="1020" spans="28:29" x14ac:dyDescent="0.35">
      <c r="AB1020" s="26">
        <v>1017</v>
      </c>
      <c r="AC1020" s="26">
        <v>15616.75</v>
      </c>
    </row>
    <row r="1021" spans="28:29" x14ac:dyDescent="0.35">
      <c r="AB1021" s="44">
        <v>1018</v>
      </c>
      <c r="AC1021" s="26">
        <v>15637.5</v>
      </c>
    </row>
    <row r="1022" spans="28:29" x14ac:dyDescent="0.35">
      <c r="AB1022" s="26">
        <v>1019</v>
      </c>
      <c r="AC1022" s="26">
        <v>15658.25</v>
      </c>
    </row>
    <row r="1023" spans="28:29" x14ac:dyDescent="0.35">
      <c r="AB1023" s="44">
        <v>1020</v>
      </c>
      <c r="AC1023" s="26">
        <v>15679</v>
      </c>
    </row>
    <row r="1024" spans="28:29" x14ac:dyDescent="0.35">
      <c r="AB1024" s="26">
        <v>1021</v>
      </c>
      <c r="AC1024" s="26">
        <v>15699.75</v>
      </c>
    </row>
    <row r="1025" spans="28:29" x14ac:dyDescent="0.35">
      <c r="AB1025" s="26">
        <v>1022</v>
      </c>
      <c r="AC1025" s="26">
        <v>15720.5</v>
      </c>
    </row>
    <row r="1026" spans="28:29" x14ac:dyDescent="0.35">
      <c r="AB1026" s="44">
        <v>1023</v>
      </c>
      <c r="AC1026" s="26">
        <v>15741.25</v>
      </c>
    </row>
    <row r="1027" spans="28:29" x14ac:dyDescent="0.35">
      <c r="AB1027" s="26">
        <v>1024</v>
      </c>
      <c r="AC1027" s="26">
        <v>15762</v>
      </c>
    </row>
    <row r="1028" spans="28:29" x14ac:dyDescent="0.35">
      <c r="AB1028" s="44">
        <v>1025</v>
      </c>
      <c r="AC1028" s="26">
        <v>15783</v>
      </c>
    </row>
    <row r="1029" spans="28:29" x14ac:dyDescent="0.35">
      <c r="AB1029" s="26">
        <v>1026</v>
      </c>
      <c r="AC1029" s="26">
        <v>15804</v>
      </c>
    </row>
    <row r="1030" spans="28:29" x14ac:dyDescent="0.35">
      <c r="AB1030" s="44">
        <v>1027</v>
      </c>
      <c r="AC1030" s="26">
        <v>15825</v>
      </c>
    </row>
    <row r="1031" spans="28:29" x14ac:dyDescent="0.35">
      <c r="AB1031" s="26">
        <v>1028</v>
      </c>
      <c r="AC1031" s="26">
        <v>15846</v>
      </c>
    </row>
    <row r="1032" spans="28:29" x14ac:dyDescent="0.35">
      <c r="AB1032" s="26">
        <v>1029</v>
      </c>
      <c r="AC1032" s="26">
        <v>15866.75</v>
      </c>
    </row>
    <row r="1033" spans="28:29" x14ac:dyDescent="0.35">
      <c r="AB1033" s="44">
        <v>1030</v>
      </c>
      <c r="AC1033" s="26">
        <v>15887.5</v>
      </c>
    </row>
    <row r="1034" spans="28:29" x14ac:dyDescent="0.35">
      <c r="AB1034" s="26">
        <v>1031</v>
      </c>
      <c r="AC1034" s="26">
        <v>15908.25</v>
      </c>
    </row>
    <row r="1035" spans="28:29" x14ac:dyDescent="0.35">
      <c r="AB1035" s="44">
        <v>1032</v>
      </c>
      <c r="AC1035" s="26">
        <v>15929</v>
      </c>
    </row>
    <row r="1036" spans="28:29" x14ac:dyDescent="0.35">
      <c r="AB1036" s="26">
        <v>1033</v>
      </c>
      <c r="AC1036" s="26">
        <v>15950</v>
      </c>
    </row>
    <row r="1037" spans="28:29" x14ac:dyDescent="0.35">
      <c r="AB1037" s="44">
        <v>1034</v>
      </c>
      <c r="AC1037" s="26">
        <v>15971</v>
      </c>
    </row>
    <row r="1038" spans="28:29" x14ac:dyDescent="0.35">
      <c r="AB1038" s="26">
        <v>1035</v>
      </c>
      <c r="AC1038" s="26">
        <v>15992</v>
      </c>
    </row>
    <row r="1039" spans="28:29" x14ac:dyDescent="0.35">
      <c r="AB1039" s="26">
        <v>1036</v>
      </c>
      <c r="AC1039" s="26">
        <v>16013</v>
      </c>
    </row>
    <row r="1040" spans="28:29" x14ac:dyDescent="0.35">
      <c r="AB1040" s="44">
        <v>1037</v>
      </c>
      <c r="AC1040" s="26">
        <v>16033.75</v>
      </c>
    </row>
    <row r="1041" spans="28:29" x14ac:dyDescent="0.35">
      <c r="AB1041" s="26">
        <v>1038</v>
      </c>
      <c r="AC1041" s="26">
        <v>16054.5</v>
      </c>
    </row>
    <row r="1042" spans="28:29" x14ac:dyDescent="0.35">
      <c r="AB1042" s="44">
        <v>1039</v>
      </c>
      <c r="AC1042" s="26">
        <v>16075.25</v>
      </c>
    </row>
    <row r="1043" spans="28:29" x14ac:dyDescent="0.35">
      <c r="AB1043" s="26">
        <v>1040</v>
      </c>
      <c r="AC1043" s="26">
        <v>16096</v>
      </c>
    </row>
    <row r="1044" spans="28:29" x14ac:dyDescent="0.35">
      <c r="AB1044" s="44">
        <v>1041</v>
      </c>
      <c r="AC1044" s="26">
        <v>16117</v>
      </c>
    </row>
    <row r="1045" spans="28:29" x14ac:dyDescent="0.35">
      <c r="AB1045" s="26">
        <v>1042</v>
      </c>
      <c r="AC1045" s="26">
        <v>16138</v>
      </c>
    </row>
    <row r="1046" spans="28:29" x14ac:dyDescent="0.35">
      <c r="AB1046" s="26">
        <v>1043</v>
      </c>
      <c r="AC1046" s="26">
        <v>16159</v>
      </c>
    </row>
    <row r="1047" spans="28:29" x14ac:dyDescent="0.35">
      <c r="AB1047" s="44">
        <v>1044</v>
      </c>
      <c r="AC1047" s="26">
        <v>16180</v>
      </c>
    </row>
    <row r="1048" spans="28:29" x14ac:dyDescent="0.35">
      <c r="AB1048" s="26">
        <v>1045</v>
      </c>
      <c r="AC1048" s="26">
        <v>16200.75</v>
      </c>
    </row>
    <row r="1049" spans="28:29" x14ac:dyDescent="0.35">
      <c r="AB1049" s="44">
        <v>1046</v>
      </c>
      <c r="AC1049" s="26">
        <v>16221.5</v>
      </c>
    </row>
    <row r="1050" spans="28:29" x14ac:dyDescent="0.35">
      <c r="AB1050" s="26">
        <v>1047</v>
      </c>
      <c r="AC1050" s="26">
        <v>16242.25</v>
      </c>
    </row>
    <row r="1051" spans="28:29" x14ac:dyDescent="0.35">
      <c r="AB1051" s="44">
        <v>1048</v>
      </c>
      <c r="AC1051" s="26">
        <v>16263</v>
      </c>
    </row>
    <row r="1052" spans="28:29" x14ac:dyDescent="0.35">
      <c r="AB1052" s="26">
        <v>1049</v>
      </c>
      <c r="AC1052" s="26">
        <v>16284</v>
      </c>
    </row>
    <row r="1053" spans="28:29" x14ac:dyDescent="0.35">
      <c r="AB1053" s="26">
        <v>1050</v>
      </c>
      <c r="AC1053" s="26">
        <v>16305</v>
      </c>
    </row>
    <row r="1054" spans="28:29" x14ac:dyDescent="0.35">
      <c r="AB1054" s="44">
        <v>1051</v>
      </c>
      <c r="AC1054" s="26">
        <v>16326</v>
      </c>
    </row>
    <row r="1055" spans="28:29" x14ac:dyDescent="0.35">
      <c r="AB1055" s="26">
        <v>1052</v>
      </c>
      <c r="AC1055" s="26">
        <v>16347</v>
      </c>
    </row>
    <row r="1056" spans="28:29" x14ac:dyDescent="0.35">
      <c r="AB1056" s="44">
        <v>1053</v>
      </c>
      <c r="AC1056" s="26">
        <v>16368</v>
      </c>
    </row>
    <row r="1057" spans="28:29" x14ac:dyDescent="0.35">
      <c r="AB1057" s="26">
        <v>1054</v>
      </c>
      <c r="AC1057" s="26">
        <v>16389</v>
      </c>
    </row>
    <row r="1058" spans="28:29" x14ac:dyDescent="0.35">
      <c r="AB1058" s="44">
        <v>1055</v>
      </c>
      <c r="AC1058" s="26">
        <v>16410</v>
      </c>
    </row>
    <row r="1059" spans="28:29" x14ac:dyDescent="0.35">
      <c r="AB1059" s="26">
        <v>1056</v>
      </c>
      <c r="AC1059" s="26">
        <v>16431</v>
      </c>
    </row>
    <row r="1060" spans="28:29" x14ac:dyDescent="0.35">
      <c r="AB1060" s="26">
        <v>1057</v>
      </c>
      <c r="AC1060" s="26">
        <v>16451.75</v>
      </c>
    </row>
    <row r="1061" spans="28:29" x14ac:dyDescent="0.35">
      <c r="AB1061" s="44">
        <v>1058</v>
      </c>
      <c r="AC1061" s="26">
        <v>16472.5</v>
      </c>
    </row>
    <row r="1062" spans="28:29" x14ac:dyDescent="0.35">
      <c r="AB1062" s="26">
        <v>1059</v>
      </c>
      <c r="AC1062" s="26">
        <v>16493.25</v>
      </c>
    </row>
    <row r="1063" spans="28:29" x14ac:dyDescent="0.35">
      <c r="AB1063" s="44">
        <v>1060</v>
      </c>
      <c r="AC1063" s="26">
        <v>16514</v>
      </c>
    </row>
    <row r="1064" spans="28:29" x14ac:dyDescent="0.35">
      <c r="AB1064" s="26">
        <v>1061</v>
      </c>
      <c r="AC1064" s="26">
        <v>16535</v>
      </c>
    </row>
    <row r="1065" spans="28:29" x14ac:dyDescent="0.35">
      <c r="AB1065" s="44">
        <v>1062</v>
      </c>
      <c r="AC1065" s="26">
        <v>16556</v>
      </c>
    </row>
    <row r="1066" spans="28:29" x14ac:dyDescent="0.35">
      <c r="AB1066" s="26">
        <v>1063</v>
      </c>
      <c r="AC1066" s="26">
        <v>16577</v>
      </c>
    </row>
    <row r="1067" spans="28:29" x14ac:dyDescent="0.35">
      <c r="AB1067" s="26">
        <v>1064</v>
      </c>
      <c r="AC1067" s="26">
        <v>16598</v>
      </c>
    </row>
    <row r="1068" spans="28:29" x14ac:dyDescent="0.35">
      <c r="AB1068" s="44">
        <v>1065</v>
      </c>
      <c r="AC1068" s="26">
        <v>16619</v>
      </c>
    </row>
    <row r="1069" spans="28:29" x14ac:dyDescent="0.35">
      <c r="AB1069" s="26">
        <v>1066</v>
      </c>
      <c r="AC1069" s="26">
        <v>16640</v>
      </c>
    </row>
    <row r="1070" spans="28:29" x14ac:dyDescent="0.35">
      <c r="AB1070" s="44">
        <v>1067</v>
      </c>
      <c r="AC1070" s="26">
        <v>16661</v>
      </c>
    </row>
    <row r="1071" spans="28:29" x14ac:dyDescent="0.35">
      <c r="AB1071" s="26">
        <v>1068</v>
      </c>
      <c r="AC1071" s="26">
        <v>16682</v>
      </c>
    </row>
    <row r="1072" spans="28:29" x14ac:dyDescent="0.35">
      <c r="AB1072" s="44">
        <v>1069</v>
      </c>
      <c r="AC1072" s="26">
        <v>16703</v>
      </c>
    </row>
    <row r="1073" spans="28:29" x14ac:dyDescent="0.35">
      <c r="AB1073" s="26">
        <v>1070</v>
      </c>
      <c r="AC1073" s="26">
        <v>16724</v>
      </c>
    </row>
    <row r="1074" spans="28:29" x14ac:dyDescent="0.35">
      <c r="AB1074" s="26">
        <v>1071</v>
      </c>
      <c r="AC1074" s="26">
        <v>16745</v>
      </c>
    </row>
    <row r="1075" spans="28:29" x14ac:dyDescent="0.35">
      <c r="AB1075" s="44">
        <v>1072</v>
      </c>
      <c r="AC1075" s="26">
        <v>16766</v>
      </c>
    </row>
    <row r="1076" spans="28:29" x14ac:dyDescent="0.35">
      <c r="AB1076" s="26">
        <v>1073</v>
      </c>
      <c r="AC1076" s="26">
        <v>16787</v>
      </c>
    </row>
    <row r="1077" spans="28:29" x14ac:dyDescent="0.35">
      <c r="AB1077" s="44">
        <v>1074</v>
      </c>
      <c r="AC1077" s="26">
        <v>16808</v>
      </c>
    </row>
    <row r="1078" spans="28:29" x14ac:dyDescent="0.35">
      <c r="AB1078" s="26">
        <v>1075</v>
      </c>
      <c r="AC1078" s="26">
        <v>16829</v>
      </c>
    </row>
    <row r="1079" spans="28:29" x14ac:dyDescent="0.35">
      <c r="AB1079" s="44">
        <v>1076</v>
      </c>
      <c r="AC1079" s="26">
        <v>16850</v>
      </c>
    </row>
    <row r="1080" spans="28:29" x14ac:dyDescent="0.35">
      <c r="AB1080" s="26">
        <v>1077</v>
      </c>
      <c r="AC1080" s="26">
        <v>16871</v>
      </c>
    </row>
    <row r="1081" spans="28:29" x14ac:dyDescent="0.35">
      <c r="AB1081" s="26">
        <v>1078</v>
      </c>
      <c r="AC1081" s="26">
        <v>16892</v>
      </c>
    </row>
    <row r="1082" spans="28:29" x14ac:dyDescent="0.35">
      <c r="AB1082" s="44">
        <v>1079</v>
      </c>
      <c r="AC1082" s="26">
        <v>16913</v>
      </c>
    </row>
    <row r="1083" spans="28:29" x14ac:dyDescent="0.35">
      <c r="AB1083" s="26">
        <v>1080</v>
      </c>
      <c r="AC1083" s="26">
        <v>16934</v>
      </c>
    </row>
    <row r="1084" spans="28:29" x14ac:dyDescent="0.35">
      <c r="AB1084" s="44">
        <v>1081</v>
      </c>
      <c r="AC1084" s="26">
        <v>16955</v>
      </c>
    </row>
    <row r="1085" spans="28:29" x14ac:dyDescent="0.35">
      <c r="AB1085" s="26">
        <v>1082</v>
      </c>
      <c r="AC1085" s="26">
        <v>16976</v>
      </c>
    </row>
    <row r="1086" spans="28:29" x14ac:dyDescent="0.35">
      <c r="AB1086" s="44">
        <v>1083</v>
      </c>
      <c r="AC1086" s="26">
        <v>16997</v>
      </c>
    </row>
    <row r="1087" spans="28:29" x14ac:dyDescent="0.35">
      <c r="AB1087" s="26">
        <v>1084</v>
      </c>
      <c r="AC1087" s="26">
        <v>17018</v>
      </c>
    </row>
    <row r="1088" spans="28:29" x14ac:dyDescent="0.35">
      <c r="AB1088" s="26">
        <v>1085</v>
      </c>
      <c r="AC1088" s="26">
        <v>17039.25</v>
      </c>
    </row>
    <row r="1089" spans="28:29" x14ac:dyDescent="0.35">
      <c r="AB1089" s="44">
        <v>1086</v>
      </c>
      <c r="AC1089" s="26">
        <v>17060.5</v>
      </c>
    </row>
    <row r="1090" spans="28:29" x14ac:dyDescent="0.35">
      <c r="AB1090" s="26">
        <v>1087</v>
      </c>
      <c r="AC1090" s="26">
        <v>17081.75</v>
      </c>
    </row>
    <row r="1091" spans="28:29" x14ac:dyDescent="0.35">
      <c r="AB1091" s="44">
        <v>1088</v>
      </c>
      <c r="AC1091" s="26">
        <v>17103</v>
      </c>
    </row>
    <row r="1092" spans="28:29" x14ac:dyDescent="0.35">
      <c r="AB1092" s="26">
        <v>1089</v>
      </c>
      <c r="AC1092" s="26">
        <v>17124</v>
      </c>
    </row>
    <row r="1093" spans="28:29" x14ac:dyDescent="0.35">
      <c r="AB1093" s="44">
        <v>1090</v>
      </c>
      <c r="AC1093" s="26">
        <v>17145</v>
      </c>
    </row>
    <row r="1094" spans="28:29" x14ac:dyDescent="0.35">
      <c r="AB1094" s="26">
        <v>1091</v>
      </c>
      <c r="AC1094" s="26">
        <v>17166</v>
      </c>
    </row>
    <row r="1095" spans="28:29" x14ac:dyDescent="0.35">
      <c r="AB1095" s="26">
        <v>1092</v>
      </c>
      <c r="AC1095" s="26">
        <v>17187</v>
      </c>
    </row>
    <row r="1096" spans="28:29" x14ac:dyDescent="0.35">
      <c r="AB1096" s="44">
        <v>1093</v>
      </c>
      <c r="AC1096" s="26">
        <v>17208</v>
      </c>
    </row>
    <row r="1097" spans="28:29" x14ac:dyDescent="0.35">
      <c r="AB1097" s="26">
        <v>1094</v>
      </c>
      <c r="AC1097" s="26">
        <v>17229</v>
      </c>
    </row>
    <row r="1098" spans="28:29" x14ac:dyDescent="0.35">
      <c r="AB1098" s="44">
        <v>1095</v>
      </c>
      <c r="AC1098" s="26">
        <v>17250</v>
      </c>
    </row>
    <row r="1099" spans="28:29" x14ac:dyDescent="0.35">
      <c r="AB1099" s="26">
        <v>1096</v>
      </c>
      <c r="AC1099" s="26">
        <v>17271</v>
      </c>
    </row>
    <row r="1100" spans="28:29" x14ac:dyDescent="0.35">
      <c r="AB1100" s="44">
        <v>1097</v>
      </c>
      <c r="AC1100" s="26">
        <v>17292.25</v>
      </c>
    </row>
    <row r="1101" spans="28:29" x14ac:dyDescent="0.35">
      <c r="AB1101" s="26">
        <v>1098</v>
      </c>
      <c r="AC1101" s="26">
        <v>17313.5</v>
      </c>
    </row>
    <row r="1102" spans="28:29" x14ac:dyDescent="0.35">
      <c r="AB1102" s="26">
        <v>1099</v>
      </c>
      <c r="AC1102" s="26">
        <v>17334.75</v>
      </c>
    </row>
    <row r="1103" spans="28:29" x14ac:dyDescent="0.35">
      <c r="AB1103" s="44">
        <v>1100</v>
      </c>
      <c r="AC1103" s="26">
        <v>17356</v>
      </c>
    </row>
    <row r="1104" spans="28:29" x14ac:dyDescent="0.35">
      <c r="AB1104" s="26">
        <v>1101</v>
      </c>
      <c r="AC1104" s="26">
        <v>17377</v>
      </c>
    </row>
    <row r="1105" spans="28:29" x14ac:dyDescent="0.35">
      <c r="AB1105" s="44">
        <v>1102</v>
      </c>
      <c r="AC1105" s="26">
        <v>17398</v>
      </c>
    </row>
    <row r="1106" spans="28:29" x14ac:dyDescent="0.35">
      <c r="AB1106" s="26">
        <v>1103</v>
      </c>
      <c r="AC1106" s="26">
        <v>17419</v>
      </c>
    </row>
    <row r="1107" spans="28:29" x14ac:dyDescent="0.35">
      <c r="AB1107" s="44">
        <v>1104</v>
      </c>
      <c r="AC1107" s="26">
        <v>17440</v>
      </c>
    </row>
    <row r="1108" spans="28:29" x14ac:dyDescent="0.35">
      <c r="AB1108" s="26">
        <v>1105</v>
      </c>
      <c r="AC1108" s="26">
        <v>17461</v>
      </c>
    </row>
    <row r="1109" spans="28:29" x14ac:dyDescent="0.35">
      <c r="AB1109" s="26">
        <v>1106</v>
      </c>
      <c r="AC1109" s="26">
        <v>17482</v>
      </c>
    </row>
    <row r="1110" spans="28:29" x14ac:dyDescent="0.35">
      <c r="AB1110" s="44">
        <v>1107</v>
      </c>
      <c r="AC1110" s="26">
        <v>17503</v>
      </c>
    </row>
    <row r="1111" spans="28:29" x14ac:dyDescent="0.35">
      <c r="AB1111" s="26">
        <v>1108</v>
      </c>
      <c r="AC1111" s="26">
        <v>17524</v>
      </c>
    </row>
    <row r="1112" spans="28:29" x14ac:dyDescent="0.35">
      <c r="AB1112" s="44">
        <v>1109</v>
      </c>
      <c r="AC1112" s="26">
        <v>17545.25</v>
      </c>
    </row>
    <row r="1113" spans="28:29" x14ac:dyDescent="0.35">
      <c r="AB1113" s="26">
        <v>1110</v>
      </c>
      <c r="AC1113" s="26">
        <v>17566.5</v>
      </c>
    </row>
    <row r="1114" spans="28:29" x14ac:dyDescent="0.35">
      <c r="AB1114" s="44">
        <v>1111</v>
      </c>
      <c r="AC1114" s="26">
        <v>17587.75</v>
      </c>
    </row>
    <row r="1115" spans="28:29" x14ac:dyDescent="0.35">
      <c r="AB1115" s="26">
        <v>1112</v>
      </c>
      <c r="AC1115" s="26">
        <v>17609</v>
      </c>
    </row>
    <row r="1116" spans="28:29" x14ac:dyDescent="0.35">
      <c r="AB1116" s="26">
        <v>1113</v>
      </c>
      <c r="AC1116" s="26">
        <v>17630</v>
      </c>
    </row>
    <row r="1117" spans="28:29" x14ac:dyDescent="0.35">
      <c r="AB1117" s="44">
        <v>1114</v>
      </c>
      <c r="AC1117" s="26">
        <v>17651</v>
      </c>
    </row>
    <row r="1118" spans="28:29" x14ac:dyDescent="0.35">
      <c r="AB1118" s="26">
        <v>1115</v>
      </c>
      <c r="AC1118" s="26">
        <v>17672</v>
      </c>
    </row>
    <row r="1119" spans="28:29" x14ac:dyDescent="0.35">
      <c r="AB1119" s="44">
        <v>1116</v>
      </c>
      <c r="AC1119" s="26">
        <v>17693</v>
      </c>
    </row>
    <row r="1120" spans="28:29" x14ac:dyDescent="0.35">
      <c r="AB1120" s="26">
        <v>1117</v>
      </c>
      <c r="AC1120" s="26">
        <v>17714.25</v>
      </c>
    </row>
    <row r="1121" spans="28:29" x14ac:dyDescent="0.35">
      <c r="AB1121" s="44">
        <v>1118</v>
      </c>
      <c r="AC1121" s="26">
        <v>17735.5</v>
      </c>
    </row>
    <row r="1122" spans="28:29" x14ac:dyDescent="0.35">
      <c r="AB1122" s="26">
        <v>1119</v>
      </c>
      <c r="AC1122" s="26">
        <v>17756.75</v>
      </c>
    </row>
    <row r="1123" spans="28:29" x14ac:dyDescent="0.35">
      <c r="AB1123" s="26">
        <v>1120</v>
      </c>
      <c r="AC1123" s="26">
        <v>17778</v>
      </c>
    </row>
    <row r="1124" spans="28:29" x14ac:dyDescent="0.35">
      <c r="AB1124" s="44">
        <v>1121</v>
      </c>
      <c r="AC1124" s="26">
        <v>17799.25</v>
      </c>
    </row>
    <row r="1125" spans="28:29" x14ac:dyDescent="0.35">
      <c r="AB1125" s="26">
        <v>1122</v>
      </c>
      <c r="AC1125" s="26">
        <v>17820.5</v>
      </c>
    </row>
    <row r="1126" spans="28:29" x14ac:dyDescent="0.35">
      <c r="AB1126" s="44">
        <v>1123</v>
      </c>
      <c r="AC1126" s="26">
        <v>17841.75</v>
      </c>
    </row>
    <row r="1127" spans="28:29" x14ac:dyDescent="0.35">
      <c r="AB1127" s="26">
        <v>1124</v>
      </c>
      <c r="AC1127" s="26">
        <v>17863</v>
      </c>
    </row>
    <row r="1128" spans="28:29" x14ac:dyDescent="0.35">
      <c r="AB1128" s="44">
        <v>1125</v>
      </c>
      <c r="AC1128" s="26">
        <v>17884</v>
      </c>
    </row>
    <row r="1129" spans="28:29" x14ac:dyDescent="0.35">
      <c r="AB1129" s="26">
        <v>1126</v>
      </c>
      <c r="AC1129" s="26">
        <v>17905</v>
      </c>
    </row>
    <row r="1130" spans="28:29" x14ac:dyDescent="0.35">
      <c r="AB1130" s="26">
        <v>1127</v>
      </c>
      <c r="AC1130" s="26">
        <v>17926</v>
      </c>
    </row>
    <row r="1131" spans="28:29" x14ac:dyDescent="0.35">
      <c r="AB1131" s="44">
        <v>1128</v>
      </c>
      <c r="AC1131" s="26">
        <v>17947</v>
      </c>
    </row>
    <row r="1132" spans="28:29" x14ac:dyDescent="0.35">
      <c r="AB1132" s="26">
        <v>1129</v>
      </c>
      <c r="AC1132" s="26">
        <v>17968.25</v>
      </c>
    </row>
    <row r="1133" spans="28:29" x14ac:dyDescent="0.35">
      <c r="AB1133" s="44">
        <v>1130</v>
      </c>
      <c r="AC1133" s="26">
        <v>17989.5</v>
      </c>
    </row>
    <row r="1134" spans="28:29" x14ac:dyDescent="0.35">
      <c r="AB1134" s="26">
        <v>1131</v>
      </c>
      <c r="AC1134" s="26">
        <v>18010.75</v>
      </c>
    </row>
    <row r="1135" spans="28:29" x14ac:dyDescent="0.35">
      <c r="AB1135" s="44">
        <v>1132</v>
      </c>
      <c r="AC1135" s="26">
        <v>18032</v>
      </c>
    </row>
    <row r="1136" spans="28:29" x14ac:dyDescent="0.35">
      <c r="AB1136" s="26">
        <v>1133</v>
      </c>
      <c r="AC1136" s="26">
        <v>18053.25</v>
      </c>
    </row>
    <row r="1137" spans="28:29" x14ac:dyDescent="0.35">
      <c r="AB1137" s="26">
        <v>1134</v>
      </c>
      <c r="AC1137" s="26">
        <v>18074.5</v>
      </c>
    </row>
    <row r="1138" spans="28:29" x14ac:dyDescent="0.35">
      <c r="AB1138" s="44">
        <v>1135</v>
      </c>
      <c r="AC1138" s="26">
        <v>18095.75</v>
      </c>
    </row>
    <row r="1139" spans="28:29" x14ac:dyDescent="0.35">
      <c r="AB1139" s="26">
        <v>1136</v>
      </c>
      <c r="AC1139" s="26">
        <v>18117</v>
      </c>
    </row>
    <row r="1140" spans="28:29" x14ac:dyDescent="0.35">
      <c r="AB1140" s="44">
        <v>1137</v>
      </c>
      <c r="AC1140" s="26">
        <v>18138.25</v>
      </c>
    </row>
    <row r="1141" spans="28:29" x14ac:dyDescent="0.35">
      <c r="AB1141" s="26">
        <v>1138</v>
      </c>
      <c r="AC1141" s="26">
        <v>18159.5</v>
      </c>
    </row>
    <row r="1142" spans="28:29" x14ac:dyDescent="0.35">
      <c r="AB1142" s="44">
        <v>1139</v>
      </c>
      <c r="AC1142" s="26">
        <v>18180.75</v>
      </c>
    </row>
    <row r="1143" spans="28:29" x14ac:dyDescent="0.35">
      <c r="AB1143" s="26">
        <v>1140</v>
      </c>
      <c r="AC1143" s="26">
        <v>18202</v>
      </c>
    </row>
    <row r="1144" spans="28:29" x14ac:dyDescent="0.35">
      <c r="AB1144" s="26">
        <v>1141</v>
      </c>
      <c r="AC1144" s="26">
        <v>18223.25</v>
      </c>
    </row>
    <row r="1145" spans="28:29" x14ac:dyDescent="0.35">
      <c r="AB1145" s="44">
        <v>1142</v>
      </c>
      <c r="AC1145" s="26">
        <v>18244.5</v>
      </c>
    </row>
    <row r="1146" spans="28:29" x14ac:dyDescent="0.35">
      <c r="AB1146" s="26">
        <v>1143</v>
      </c>
      <c r="AC1146" s="26">
        <v>18265.75</v>
      </c>
    </row>
    <row r="1147" spans="28:29" x14ac:dyDescent="0.35">
      <c r="AB1147" s="44">
        <v>1144</v>
      </c>
      <c r="AC1147" s="26">
        <v>18287</v>
      </c>
    </row>
    <row r="1148" spans="28:29" x14ac:dyDescent="0.35">
      <c r="AB1148" s="26">
        <v>1145</v>
      </c>
      <c r="AC1148" s="26">
        <v>18308</v>
      </c>
    </row>
    <row r="1149" spans="28:29" x14ac:dyDescent="0.35">
      <c r="AB1149" s="44">
        <v>1146</v>
      </c>
      <c r="AC1149" s="26">
        <v>18329</v>
      </c>
    </row>
    <row r="1150" spans="28:29" x14ac:dyDescent="0.35">
      <c r="AB1150" s="26">
        <v>1147</v>
      </c>
      <c r="AC1150" s="26">
        <v>18350</v>
      </c>
    </row>
    <row r="1151" spans="28:29" x14ac:dyDescent="0.35">
      <c r="AB1151" s="26">
        <v>1148</v>
      </c>
      <c r="AC1151" s="26">
        <v>18371</v>
      </c>
    </row>
    <row r="1152" spans="28:29" x14ac:dyDescent="0.35">
      <c r="AB1152" s="44">
        <v>1149</v>
      </c>
      <c r="AC1152" s="26">
        <v>18392.25</v>
      </c>
    </row>
    <row r="1153" spans="28:30" x14ac:dyDescent="0.35">
      <c r="AB1153" s="26">
        <v>1150</v>
      </c>
      <c r="AC1153" s="26">
        <v>18413.5</v>
      </c>
    </row>
    <row r="1154" spans="28:30" x14ac:dyDescent="0.35">
      <c r="AB1154" s="44">
        <v>1151</v>
      </c>
      <c r="AC1154" s="26">
        <v>18434.75</v>
      </c>
    </row>
    <row r="1155" spans="28:30" x14ac:dyDescent="0.35">
      <c r="AB1155" s="26">
        <v>1152</v>
      </c>
      <c r="AC1155" s="26">
        <v>18456</v>
      </c>
    </row>
    <row r="1156" spans="28:30" x14ac:dyDescent="0.35">
      <c r="AB1156" s="44">
        <v>1153</v>
      </c>
      <c r="AC1156" s="26">
        <v>18477.25</v>
      </c>
    </row>
    <row r="1157" spans="28:30" x14ac:dyDescent="0.35">
      <c r="AB1157" s="26">
        <v>1154</v>
      </c>
      <c r="AC1157" s="26">
        <v>18498.5</v>
      </c>
      <c r="AD1157" s="11"/>
    </row>
    <row r="1158" spans="28:30" x14ac:dyDescent="0.35">
      <c r="AB1158" s="26">
        <v>1155</v>
      </c>
      <c r="AC1158" s="26">
        <v>18519.75</v>
      </c>
    </row>
    <row r="1159" spans="28:30" x14ac:dyDescent="0.35">
      <c r="AB1159" s="44">
        <v>1156</v>
      </c>
      <c r="AC1159" s="26">
        <v>18541</v>
      </c>
    </row>
    <row r="1160" spans="28:30" x14ac:dyDescent="0.35">
      <c r="AB1160" s="26">
        <v>1157</v>
      </c>
      <c r="AC1160" s="26">
        <v>18562.25</v>
      </c>
    </row>
    <row r="1161" spans="28:30" x14ac:dyDescent="0.35">
      <c r="AB1161" s="44">
        <v>1158</v>
      </c>
      <c r="AC1161" s="26">
        <v>18583.5</v>
      </c>
    </row>
    <row r="1162" spans="28:30" x14ac:dyDescent="0.35">
      <c r="AB1162" s="26">
        <v>1159</v>
      </c>
      <c r="AC1162" s="26">
        <v>18604.75</v>
      </c>
    </row>
    <row r="1163" spans="28:30" x14ac:dyDescent="0.35">
      <c r="AB1163" s="44">
        <v>1160</v>
      </c>
      <c r="AC1163" s="26">
        <v>18626</v>
      </c>
    </row>
    <row r="1164" spans="28:30" x14ac:dyDescent="0.35">
      <c r="AB1164" s="26">
        <v>1161</v>
      </c>
      <c r="AC1164" s="26">
        <v>18647.25</v>
      </c>
    </row>
    <row r="1165" spans="28:30" x14ac:dyDescent="0.35">
      <c r="AB1165" s="26">
        <v>1162</v>
      </c>
      <c r="AC1165" s="26">
        <v>18668.5</v>
      </c>
    </row>
    <row r="1166" spans="28:30" x14ac:dyDescent="0.35">
      <c r="AB1166" s="44">
        <v>1163</v>
      </c>
      <c r="AC1166" s="26">
        <v>18689.75</v>
      </c>
    </row>
    <row r="1167" spans="28:30" x14ac:dyDescent="0.35">
      <c r="AB1167" s="26">
        <v>1164</v>
      </c>
      <c r="AC1167" s="26">
        <v>18711</v>
      </c>
    </row>
    <row r="1168" spans="28:30" x14ac:dyDescent="0.35">
      <c r="AB1168" s="44">
        <v>1165</v>
      </c>
      <c r="AC1168" s="26">
        <v>18732.5</v>
      </c>
    </row>
    <row r="1169" spans="28:29" x14ac:dyDescent="0.35">
      <c r="AB1169" s="26">
        <v>1166</v>
      </c>
      <c r="AC1169" s="26">
        <v>18754</v>
      </c>
    </row>
    <row r="1170" spans="28:29" x14ac:dyDescent="0.35">
      <c r="AB1170" s="44">
        <v>1167</v>
      </c>
      <c r="AC1170" s="26">
        <v>18775.5</v>
      </c>
    </row>
    <row r="1171" spans="28:29" x14ac:dyDescent="0.35">
      <c r="AB1171" s="26">
        <v>1168</v>
      </c>
      <c r="AC1171" s="26">
        <v>18797</v>
      </c>
    </row>
    <row r="1172" spans="28:29" x14ac:dyDescent="0.35">
      <c r="AB1172" s="26">
        <v>1169</v>
      </c>
      <c r="AC1172" s="26">
        <v>18818.25</v>
      </c>
    </row>
    <row r="1173" spans="28:29" x14ac:dyDescent="0.35">
      <c r="AB1173" s="44">
        <v>1170</v>
      </c>
      <c r="AC1173" s="26">
        <v>18839.5</v>
      </c>
    </row>
    <row r="1174" spans="28:29" x14ac:dyDescent="0.35">
      <c r="AB1174" s="26">
        <v>1171</v>
      </c>
      <c r="AC1174" s="26">
        <v>18860.75</v>
      </c>
    </row>
    <row r="1175" spans="28:29" x14ac:dyDescent="0.35">
      <c r="AB1175" s="44">
        <v>1172</v>
      </c>
      <c r="AC1175" s="26">
        <v>18882</v>
      </c>
    </row>
    <row r="1176" spans="28:29" x14ac:dyDescent="0.35">
      <c r="AB1176" s="26">
        <v>1173</v>
      </c>
      <c r="AC1176" s="26">
        <v>18903.25</v>
      </c>
    </row>
    <row r="1177" spans="28:29" x14ac:dyDescent="0.35">
      <c r="AB1177" s="44">
        <v>1174</v>
      </c>
      <c r="AC1177" s="26">
        <v>18924.5</v>
      </c>
    </row>
    <row r="1178" spans="28:29" x14ac:dyDescent="0.35">
      <c r="AB1178" s="26">
        <v>1175</v>
      </c>
      <c r="AC1178" s="26">
        <v>18945.75</v>
      </c>
    </row>
    <row r="1179" spans="28:29" x14ac:dyDescent="0.35">
      <c r="AB1179" s="26">
        <v>1176</v>
      </c>
      <c r="AC1179" s="26">
        <v>18967</v>
      </c>
    </row>
    <row r="1180" spans="28:29" x14ac:dyDescent="0.35">
      <c r="AB1180" s="44">
        <v>1177</v>
      </c>
      <c r="AC1180" s="26">
        <v>18988.25</v>
      </c>
    </row>
    <row r="1181" spans="28:29" x14ac:dyDescent="0.35">
      <c r="AB1181" s="26">
        <v>1178</v>
      </c>
      <c r="AC1181" s="26">
        <v>19009.5</v>
      </c>
    </row>
    <row r="1182" spans="28:29" x14ac:dyDescent="0.35">
      <c r="AB1182" s="44">
        <v>1179</v>
      </c>
      <c r="AC1182" s="26">
        <v>19030.75</v>
      </c>
    </row>
    <row r="1183" spans="28:29" x14ac:dyDescent="0.35">
      <c r="AB1183" s="26">
        <v>1180</v>
      </c>
      <c r="AC1183" s="26">
        <v>19052</v>
      </c>
    </row>
    <row r="1184" spans="28:29" x14ac:dyDescent="0.35">
      <c r="AB1184" s="44">
        <v>1181</v>
      </c>
      <c r="AC1184" s="26">
        <v>19073.25</v>
      </c>
    </row>
    <row r="1185" spans="28:29" x14ac:dyDescent="0.35">
      <c r="AB1185" s="26">
        <v>1182</v>
      </c>
      <c r="AC1185" s="26">
        <v>19094.5</v>
      </c>
    </row>
    <row r="1186" spans="28:29" x14ac:dyDescent="0.35">
      <c r="AB1186" s="26">
        <v>1183</v>
      </c>
      <c r="AC1186" s="26">
        <v>19115.75</v>
      </c>
    </row>
    <row r="1187" spans="28:29" x14ac:dyDescent="0.35">
      <c r="AB1187" s="44">
        <v>1184</v>
      </c>
      <c r="AC1187" s="26">
        <v>19137</v>
      </c>
    </row>
    <row r="1188" spans="28:29" x14ac:dyDescent="0.35">
      <c r="AB1188" s="26">
        <v>1185</v>
      </c>
      <c r="AC1188" s="26">
        <v>19158.5</v>
      </c>
    </row>
    <row r="1189" spans="28:29" x14ac:dyDescent="0.35">
      <c r="AB1189" s="44">
        <v>1186</v>
      </c>
      <c r="AC1189" s="26">
        <v>19180</v>
      </c>
    </row>
    <row r="1190" spans="28:29" x14ac:dyDescent="0.35">
      <c r="AB1190" s="26">
        <v>1187</v>
      </c>
      <c r="AC1190" s="26">
        <v>19201.5</v>
      </c>
    </row>
    <row r="1191" spans="28:29" x14ac:dyDescent="0.35">
      <c r="AB1191" s="44">
        <v>1188</v>
      </c>
      <c r="AC1191" s="26">
        <v>19223</v>
      </c>
    </row>
    <row r="1192" spans="28:29" x14ac:dyDescent="0.35">
      <c r="AB1192" s="26">
        <v>1189</v>
      </c>
      <c r="AC1192" s="26">
        <v>19244.5</v>
      </c>
    </row>
    <row r="1193" spans="28:29" x14ac:dyDescent="0.35">
      <c r="AB1193" s="26">
        <v>1190</v>
      </c>
      <c r="AC1193" s="26">
        <v>19266</v>
      </c>
    </row>
    <row r="1194" spans="28:29" x14ac:dyDescent="0.35">
      <c r="AB1194" s="44">
        <v>1191</v>
      </c>
      <c r="AC1194" s="26">
        <v>19287.5</v>
      </c>
    </row>
    <row r="1195" spans="28:29" x14ac:dyDescent="0.35">
      <c r="AB1195" s="26">
        <v>1192</v>
      </c>
      <c r="AC1195" s="26">
        <v>19309</v>
      </c>
    </row>
    <row r="1196" spans="28:29" x14ac:dyDescent="0.35">
      <c r="AB1196" s="44">
        <v>1193</v>
      </c>
      <c r="AC1196" s="26">
        <v>19330</v>
      </c>
    </row>
    <row r="1197" spans="28:29" x14ac:dyDescent="0.35">
      <c r="AB1197" s="26">
        <v>1194</v>
      </c>
      <c r="AC1197" s="26">
        <v>19351</v>
      </c>
    </row>
    <row r="1198" spans="28:29" x14ac:dyDescent="0.35">
      <c r="AB1198" s="44">
        <v>1195</v>
      </c>
      <c r="AC1198" s="26">
        <v>19372</v>
      </c>
    </row>
    <row r="1199" spans="28:29" x14ac:dyDescent="0.35">
      <c r="AB1199" s="26">
        <v>1196</v>
      </c>
      <c r="AC1199" s="26">
        <v>19393</v>
      </c>
    </row>
    <row r="1200" spans="28:29" x14ac:dyDescent="0.35">
      <c r="AB1200" s="26">
        <v>1197</v>
      </c>
      <c r="AC1200" s="26">
        <v>19414.5</v>
      </c>
    </row>
    <row r="1201" spans="28:29" x14ac:dyDescent="0.35">
      <c r="AB1201" s="44">
        <v>1198</v>
      </c>
      <c r="AC1201" s="26">
        <v>19436</v>
      </c>
    </row>
    <row r="1202" spans="28:29" x14ac:dyDescent="0.35">
      <c r="AB1202" s="26">
        <v>1199</v>
      </c>
      <c r="AC1202" s="26">
        <v>19457.5</v>
      </c>
    </row>
    <row r="1203" spans="28:29" x14ac:dyDescent="0.35">
      <c r="AB1203" s="44">
        <v>1200</v>
      </c>
      <c r="AC1203" s="26">
        <v>19479</v>
      </c>
    </row>
    <row r="1204" spans="28:29" x14ac:dyDescent="0.35">
      <c r="AB1204" s="26">
        <v>1201</v>
      </c>
      <c r="AC1204" s="26">
        <v>19500.25</v>
      </c>
    </row>
    <row r="1205" spans="28:29" x14ac:dyDescent="0.35">
      <c r="AB1205" s="44">
        <v>1202</v>
      </c>
      <c r="AC1205" s="26">
        <v>19521.5</v>
      </c>
    </row>
    <row r="1206" spans="28:29" x14ac:dyDescent="0.35">
      <c r="AB1206" s="26">
        <v>1203</v>
      </c>
      <c r="AC1206" s="26">
        <v>19542.75</v>
      </c>
    </row>
    <row r="1207" spans="28:29" x14ac:dyDescent="0.35">
      <c r="AB1207" s="26">
        <v>1204</v>
      </c>
      <c r="AC1207" s="26">
        <v>19564</v>
      </c>
    </row>
    <row r="1208" spans="28:29" x14ac:dyDescent="0.35">
      <c r="AB1208" s="44">
        <v>1205</v>
      </c>
      <c r="AC1208" s="26">
        <v>19585.25</v>
      </c>
    </row>
    <row r="1209" spans="28:29" x14ac:dyDescent="0.35">
      <c r="AB1209" s="26">
        <v>1206</v>
      </c>
      <c r="AC1209" s="26">
        <v>19606.5</v>
      </c>
    </row>
    <row r="1210" spans="28:29" x14ac:dyDescent="0.35">
      <c r="AB1210" s="44">
        <v>1207</v>
      </c>
      <c r="AC1210" s="26">
        <v>19627.75</v>
      </c>
    </row>
    <row r="1211" spans="28:29" x14ac:dyDescent="0.35">
      <c r="AB1211" s="26">
        <v>1208</v>
      </c>
      <c r="AC1211" s="26">
        <v>19649</v>
      </c>
    </row>
    <row r="1212" spans="28:29" x14ac:dyDescent="0.35">
      <c r="AB1212" s="44">
        <v>1209</v>
      </c>
      <c r="AC1212" s="26">
        <v>19670.5</v>
      </c>
    </row>
    <row r="1213" spans="28:29" x14ac:dyDescent="0.35">
      <c r="AB1213" s="26">
        <v>1210</v>
      </c>
      <c r="AC1213" s="26">
        <v>19692</v>
      </c>
    </row>
    <row r="1214" spans="28:29" x14ac:dyDescent="0.35">
      <c r="AB1214" s="26">
        <v>1211</v>
      </c>
      <c r="AC1214" s="26">
        <v>19713.5</v>
      </c>
    </row>
    <row r="1215" spans="28:29" x14ac:dyDescent="0.35">
      <c r="AB1215" s="44">
        <v>1212</v>
      </c>
      <c r="AC1215" s="26">
        <v>19735</v>
      </c>
    </row>
    <row r="1216" spans="28:29" x14ac:dyDescent="0.35">
      <c r="AB1216" s="26">
        <v>1213</v>
      </c>
      <c r="AC1216" s="26">
        <v>19756.25</v>
      </c>
    </row>
    <row r="1217" spans="28:29" x14ac:dyDescent="0.35">
      <c r="AB1217" s="44">
        <v>1214</v>
      </c>
      <c r="AC1217" s="26">
        <v>19777.5</v>
      </c>
    </row>
    <row r="1218" spans="28:29" x14ac:dyDescent="0.35">
      <c r="AB1218" s="26">
        <v>1215</v>
      </c>
      <c r="AC1218" s="26">
        <v>19798.75</v>
      </c>
    </row>
    <row r="1219" spans="28:29" x14ac:dyDescent="0.35">
      <c r="AB1219" s="44">
        <v>1216</v>
      </c>
      <c r="AC1219" s="26">
        <v>19820</v>
      </c>
    </row>
    <row r="1220" spans="28:29" x14ac:dyDescent="0.35">
      <c r="AB1220" s="26">
        <v>1217</v>
      </c>
      <c r="AC1220" s="26">
        <v>19841.5</v>
      </c>
    </row>
    <row r="1221" spans="28:29" x14ac:dyDescent="0.35">
      <c r="AB1221" s="26">
        <v>1218</v>
      </c>
      <c r="AC1221" s="26">
        <v>19863</v>
      </c>
    </row>
    <row r="1222" spans="28:29" x14ac:dyDescent="0.35">
      <c r="AB1222" s="44">
        <v>1219</v>
      </c>
      <c r="AC1222" s="26">
        <v>19884.5</v>
      </c>
    </row>
    <row r="1223" spans="28:29" x14ac:dyDescent="0.35">
      <c r="AB1223" s="26">
        <v>1220</v>
      </c>
      <c r="AC1223" s="26">
        <v>19906</v>
      </c>
    </row>
    <row r="1224" spans="28:29" x14ac:dyDescent="0.35">
      <c r="AB1224" s="44">
        <v>1221</v>
      </c>
      <c r="AC1224" s="26">
        <v>19927.25</v>
      </c>
    </row>
    <row r="1225" spans="28:29" x14ac:dyDescent="0.35">
      <c r="AB1225" s="26">
        <v>1222</v>
      </c>
      <c r="AC1225" s="26">
        <v>19948.5</v>
      </c>
    </row>
    <row r="1226" spans="28:29" x14ac:dyDescent="0.35">
      <c r="AB1226" s="44">
        <v>1223</v>
      </c>
      <c r="AC1226" s="26">
        <v>19969.75</v>
      </c>
    </row>
    <row r="1227" spans="28:29" x14ac:dyDescent="0.35">
      <c r="AB1227" s="26">
        <v>1224</v>
      </c>
      <c r="AC1227" s="26">
        <v>19991</v>
      </c>
    </row>
    <row r="1228" spans="28:29" x14ac:dyDescent="0.35">
      <c r="AB1228" s="26">
        <v>1225</v>
      </c>
      <c r="AC1228" s="26">
        <v>20012.5</v>
      </c>
    </row>
    <row r="1229" spans="28:29" x14ac:dyDescent="0.35">
      <c r="AB1229" s="44">
        <v>1226</v>
      </c>
      <c r="AC1229" s="26">
        <v>20034</v>
      </c>
    </row>
    <row r="1230" spans="28:29" x14ac:dyDescent="0.35">
      <c r="AB1230" s="26">
        <v>1227</v>
      </c>
      <c r="AC1230" s="26">
        <v>20055.5</v>
      </c>
    </row>
    <row r="1231" spans="28:29" x14ac:dyDescent="0.35">
      <c r="AB1231" s="44">
        <v>1228</v>
      </c>
      <c r="AC1231" s="26">
        <v>20077</v>
      </c>
    </row>
    <row r="1232" spans="28:29" x14ac:dyDescent="0.35">
      <c r="AB1232" s="26">
        <v>1229</v>
      </c>
      <c r="AC1232" s="26">
        <v>20098.5</v>
      </c>
    </row>
    <row r="1233" spans="28:29" x14ac:dyDescent="0.35">
      <c r="AB1233" s="44">
        <v>1230</v>
      </c>
      <c r="AC1233" s="26">
        <v>20120</v>
      </c>
    </row>
    <row r="1234" spans="28:29" x14ac:dyDescent="0.35">
      <c r="AB1234" s="26">
        <v>1231</v>
      </c>
      <c r="AC1234" s="26">
        <v>20141.5</v>
      </c>
    </row>
    <row r="1235" spans="28:29" x14ac:dyDescent="0.35">
      <c r="AB1235" s="26">
        <v>1232</v>
      </c>
      <c r="AC1235" s="26">
        <v>20163</v>
      </c>
    </row>
    <row r="1236" spans="28:29" x14ac:dyDescent="0.35">
      <c r="AB1236" s="44">
        <v>1233</v>
      </c>
      <c r="AC1236" s="26">
        <v>20184.25</v>
      </c>
    </row>
    <row r="1237" spans="28:29" x14ac:dyDescent="0.35">
      <c r="AB1237" s="26">
        <v>1234</v>
      </c>
      <c r="AC1237" s="26">
        <v>20205.5</v>
      </c>
    </row>
    <row r="1238" spans="28:29" x14ac:dyDescent="0.35">
      <c r="AB1238" s="44">
        <v>1235</v>
      </c>
      <c r="AC1238" s="26">
        <v>20226.75</v>
      </c>
    </row>
    <row r="1239" spans="28:29" x14ac:dyDescent="0.35">
      <c r="AB1239" s="26">
        <v>1236</v>
      </c>
      <c r="AC1239" s="26">
        <v>20248</v>
      </c>
    </row>
    <row r="1240" spans="28:29" x14ac:dyDescent="0.35">
      <c r="AB1240" s="44">
        <v>1237</v>
      </c>
      <c r="AC1240" s="26">
        <v>20269.5</v>
      </c>
    </row>
    <row r="1241" spans="28:29" x14ac:dyDescent="0.35">
      <c r="AB1241" s="26">
        <v>1238</v>
      </c>
      <c r="AC1241" s="26">
        <v>20291</v>
      </c>
    </row>
    <row r="1242" spans="28:29" x14ac:dyDescent="0.35">
      <c r="AB1242" s="26">
        <v>1239</v>
      </c>
      <c r="AC1242" s="26">
        <v>20312.5</v>
      </c>
    </row>
    <row r="1243" spans="28:29" x14ac:dyDescent="0.35">
      <c r="AB1243" s="44">
        <v>1240</v>
      </c>
      <c r="AC1243" s="26">
        <v>20334</v>
      </c>
    </row>
    <row r="1244" spans="28:29" x14ac:dyDescent="0.35">
      <c r="AB1244" s="26">
        <v>1241</v>
      </c>
      <c r="AC1244" s="26">
        <v>20355.5</v>
      </c>
    </row>
    <row r="1245" spans="28:29" x14ac:dyDescent="0.35">
      <c r="AB1245" s="44">
        <v>1242</v>
      </c>
      <c r="AC1245" s="26">
        <v>20377</v>
      </c>
    </row>
    <row r="1246" spans="28:29" x14ac:dyDescent="0.35">
      <c r="AB1246" s="26">
        <v>1243</v>
      </c>
      <c r="AC1246" s="26">
        <v>20398.5</v>
      </c>
    </row>
    <row r="1247" spans="28:29" x14ac:dyDescent="0.35">
      <c r="AB1247" s="44">
        <v>1244</v>
      </c>
      <c r="AC1247" s="26">
        <v>20420</v>
      </c>
    </row>
    <row r="1248" spans="28:29" x14ac:dyDescent="0.35">
      <c r="AB1248" s="26">
        <v>1245</v>
      </c>
      <c r="AC1248" s="26">
        <v>20441.25</v>
      </c>
    </row>
    <row r="1249" spans="28:29" x14ac:dyDescent="0.35">
      <c r="AB1249" s="26">
        <v>1246</v>
      </c>
      <c r="AC1249" s="26">
        <v>20462.5</v>
      </c>
    </row>
    <row r="1250" spans="28:29" x14ac:dyDescent="0.35">
      <c r="AB1250" s="44">
        <v>1247</v>
      </c>
      <c r="AC1250" s="26">
        <v>20483.75</v>
      </c>
    </row>
    <row r="1251" spans="28:29" x14ac:dyDescent="0.35">
      <c r="AB1251" s="26">
        <v>1248</v>
      </c>
      <c r="AC1251" s="26">
        <v>20505</v>
      </c>
    </row>
    <row r="1252" spans="28:29" x14ac:dyDescent="0.35">
      <c r="AB1252" s="44">
        <v>1249</v>
      </c>
      <c r="AC1252" s="26">
        <v>20526.5</v>
      </c>
    </row>
    <row r="1253" spans="28:29" x14ac:dyDescent="0.35">
      <c r="AB1253" s="26">
        <v>1250</v>
      </c>
      <c r="AC1253" s="26">
        <v>20548</v>
      </c>
    </row>
    <row r="1254" spans="28:29" x14ac:dyDescent="0.35">
      <c r="AB1254" s="44">
        <v>1251</v>
      </c>
      <c r="AC1254" s="26">
        <v>20569.5</v>
      </c>
    </row>
    <row r="1255" spans="28:29" x14ac:dyDescent="0.35">
      <c r="AB1255" s="26">
        <v>1252</v>
      </c>
      <c r="AC1255" s="26">
        <v>20591</v>
      </c>
    </row>
    <row r="1256" spans="28:29" x14ac:dyDescent="0.35">
      <c r="AB1256" s="26">
        <v>1253</v>
      </c>
      <c r="AC1256" s="26">
        <v>20612.5</v>
      </c>
    </row>
    <row r="1257" spans="28:29" x14ac:dyDescent="0.35">
      <c r="AB1257" s="44">
        <v>1254</v>
      </c>
      <c r="AC1257" s="26">
        <v>20634</v>
      </c>
    </row>
    <row r="1258" spans="28:29" x14ac:dyDescent="0.35">
      <c r="AB1258" s="26">
        <v>1255</v>
      </c>
      <c r="AC1258" s="26">
        <v>20655.5</v>
      </c>
    </row>
    <row r="1259" spans="28:29" x14ac:dyDescent="0.35">
      <c r="AB1259" s="44">
        <v>1256</v>
      </c>
      <c r="AC1259" s="26">
        <v>20677</v>
      </c>
    </row>
    <row r="1260" spans="28:29" x14ac:dyDescent="0.35">
      <c r="AB1260" s="26">
        <v>1257</v>
      </c>
      <c r="AC1260" s="26">
        <v>20698.25</v>
      </c>
    </row>
    <row r="1261" spans="28:29" x14ac:dyDescent="0.35">
      <c r="AB1261" s="44">
        <v>1258</v>
      </c>
      <c r="AC1261" s="26">
        <v>20719.5</v>
      </c>
    </row>
    <row r="1262" spans="28:29" x14ac:dyDescent="0.35">
      <c r="AB1262" s="26">
        <v>1259</v>
      </c>
      <c r="AC1262" s="26">
        <v>20740.75</v>
      </c>
    </row>
    <row r="1263" spans="28:29" x14ac:dyDescent="0.35">
      <c r="AB1263" s="26">
        <v>1260</v>
      </c>
      <c r="AC1263" s="26">
        <v>20762</v>
      </c>
    </row>
    <row r="1264" spans="28:29" x14ac:dyDescent="0.35">
      <c r="AB1264" s="44">
        <v>1261</v>
      </c>
      <c r="AC1264" s="26">
        <v>20783.5</v>
      </c>
    </row>
    <row r="1265" spans="28:29" x14ac:dyDescent="0.35">
      <c r="AB1265" s="26">
        <v>1262</v>
      </c>
      <c r="AC1265" s="26">
        <v>20805</v>
      </c>
    </row>
    <row r="1266" spans="28:29" x14ac:dyDescent="0.35">
      <c r="AB1266" s="44">
        <v>1263</v>
      </c>
      <c r="AC1266" s="26">
        <v>20826.5</v>
      </c>
    </row>
    <row r="1267" spans="28:29" x14ac:dyDescent="0.35">
      <c r="AB1267" s="26">
        <v>1264</v>
      </c>
      <c r="AC1267" s="26">
        <v>20848</v>
      </c>
    </row>
    <row r="1268" spans="28:29" x14ac:dyDescent="0.35">
      <c r="AB1268" s="44">
        <v>1265</v>
      </c>
      <c r="AC1268" s="26">
        <v>20869.5</v>
      </c>
    </row>
    <row r="1269" spans="28:29" x14ac:dyDescent="0.35">
      <c r="AB1269" s="26">
        <v>1266</v>
      </c>
      <c r="AC1269" s="26">
        <v>20891</v>
      </c>
    </row>
    <row r="1270" spans="28:29" x14ac:dyDescent="0.35">
      <c r="AB1270" s="26">
        <v>1267</v>
      </c>
      <c r="AC1270" s="26">
        <v>20912.5</v>
      </c>
    </row>
    <row r="1271" spans="28:29" x14ac:dyDescent="0.35">
      <c r="AB1271" s="44">
        <v>1268</v>
      </c>
      <c r="AC1271" s="26">
        <v>20934</v>
      </c>
    </row>
    <row r="1272" spans="28:29" x14ac:dyDescent="0.35">
      <c r="AB1272" s="26">
        <v>1269</v>
      </c>
      <c r="AC1272" s="26">
        <v>20955.5</v>
      </c>
    </row>
    <row r="1273" spans="28:29" x14ac:dyDescent="0.35">
      <c r="AB1273" s="44">
        <v>1270</v>
      </c>
      <c r="AC1273" s="26">
        <v>20977</v>
      </c>
    </row>
    <row r="1274" spans="28:29" x14ac:dyDescent="0.35">
      <c r="AB1274" s="26">
        <v>1271</v>
      </c>
      <c r="AC1274" s="26">
        <v>20998.5</v>
      </c>
    </row>
    <row r="1275" spans="28:29" x14ac:dyDescent="0.35">
      <c r="AB1275" s="44">
        <v>1272</v>
      </c>
      <c r="AC1275" s="26">
        <v>21020</v>
      </c>
    </row>
    <row r="1276" spans="28:29" x14ac:dyDescent="0.35">
      <c r="AB1276" s="26">
        <v>1273</v>
      </c>
      <c r="AC1276" s="26">
        <v>21041.5</v>
      </c>
    </row>
    <row r="1277" spans="28:29" x14ac:dyDescent="0.35">
      <c r="AB1277" s="26">
        <v>1274</v>
      </c>
      <c r="AC1277" s="26">
        <v>21063</v>
      </c>
    </row>
    <row r="1278" spans="28:29" x14ac:dyDescent="0.35">
      <c r="AB1278" s="44">
        <v>1275</v>
      </c>
      <c r="AC1278" s="26">
        <v>21084.5</v>
      </c>
    </row>
    <row r="1279" spans="28:29" x14ac:dyDescent="0.35">
      <c r="AB1279" s="26">
        <v>1276</v>
      </c>
      <c r="AC1279" s="26">
        <v>21106</v>
      </c>
    </row>
    <row r="1280" spans="28:29" x14ac:dyDescent="0.35">
      <c r="AB1280" s="44">
        <v>1277</v>
      </c>
      <c r="AC1280" s="26">
        <v>21127.25</v>
      </c>
    </row>
    <row r="1281" spans="28:29" x14ac:dyDescent="0.35">
      <c r="AB1281" s="26">
        <v>1278</v>
      </c>
      <c r="AC1281" s="26">
        <v>21148.5</v>
      </c>
    </row>
    <row r="1282" spans="28:29" x14ac:dyDescent="0.35">
      <c r="AB1282" s="44">
        <v>1279</v>
      </c>
      <c r="AC1282" s="26">
        <v>21169.75</v>
      </c>
    </row>
    <row r="1283" spans="28:29" x14ac:dyDescent="0.35">
      <c r="AB1283" s="26">
        <v>1280</v>
      </c>
      <c r="AC1283" s="26">
        <v>21191</v>
      </c>
    </row>
    <row r="1284" spans="28:29" x14ac:dyDescent="0.35">
      <c r="AB1284" s="26">
        <v>1281</v>
      </c>
      <c r="AC1284" s="26">
        <v>21212.5</v>
      </c>
    </row>
    <row r="1285" spans="28:29" x14ac:dyDescent="0.35">
      <c r="AB1285" s="44">
        <v>1282</v>
      </c>
      <c r="AC1285" s="26">
        <v>21234</v>
      </c>
    </row>
    <row r="1286" spans="28:29" x14ac:dyDescent="0.35">
      <c r="AB1286" s="26">
        <v>1283</v>
      </c>
      <c r="AC1286" s="26">
        <v>21255.5</v>
      </c>
    </row>
    <row r="1287" spans="28:29" x14ac:dyDescent="0.35">
      <c r="AB1287" s="44">
        <v>1284</v>
      </c>
      <c r="AC1287" s="26">
        <v>21277</v>
      </c>
    </row>
    <row r="1288" spans="28:29" x14ac:dyDescent="0.35">
      <c r="AB1288" s="26">
        <v>1285</v>
      </c>
      <c r="AC1288" s="26">
        <v>21298.5</v>
      </c>
    </row>
    <row r="1289" spans="28:29" x14ac:dyDescent="0.35">
      <c r="AB1289" s="44">
        <v>1286</v>
      </c>
      <c r="AC1289" s="26">
        <v>21320</v>
      </c>
    </row>
    <row r="1290" spans="28:29" x14ac:dyDescent="0.35">
      <c r="AB1290" s="26">
        <v>1287</v>
      </c>
      <c r="AC1290" s="26">
        <v>21341.5</v>
      </c>
    </row>
    <row r="1291" spans="28:29" x14ac:dyDescent="0.35">
      <c r="AB1291" s="26">
        <v>1288</v>
      </c>
      <c r="AC1291" s="26">
        <v>21363</v>
      </c>
    </row>
    <row r="1292" spans="28:29" x14ac:dyDescent="0.35">
      <c r="AB1292" s="44">
        <v>1289</v>
      </c>
      <c r="AC1292" s="26">
        <v>21384.5</v>
      </c>
    </row>
    <row r="1293" spans="28:29" x14ac:dyDescent="0.35">
      <c r="AB1293" s="26">
        <v>1290</v>
      </c>
      <c r="AC1293" s="26">
        <v>21406</v>
      </c>
    </row>
    <row r="1294" spans="28:29" x14ac:dyDescent="0.35">
      <c r="AB1294" s="44">
        <v>1291</v>
      </c>
      <c r="AC1294" s="26">
        <v>21427.5</v>
      </c>
    </row>
    <row r="1295" spans="28:29" x14ac:dyDescent="0.35">
      <c r="AB1295" s="26">
        <v>1292</v>
      </c>
      <c r="AC1295" s="26">
        <v>21449</v>
      </c>
    </row>
    <row r="1296" spans="28:29" x14ac:dyDescent="0.35">
      <c r="AB1296" s="44">
        <v>1293</v>
      </c>
      <c r="AC1296" s="26">
        <v>21470.5</v>
      </c>
    </row>
    <row r="1297" spans="28:29" x14ac:dyDescent="0.35">
      <c r="AB1297" s="26">
        <v>1294</v>
      </c>
      <c r="AC1297" s="26">
        <v>21492</v>
      </c>
    </row>
    <row r="1298" spans="28:29" x14ac:dyDescent="0.35">
      <c r="AB1298" s="26">
        <v>1295</v>
      </c>
      <c r="AC1298" s="26">
        <v>21513.5</v>
      </c>
    </row>
    <row r="1299" spans="28:29" x14ac:dyDescent="0.35">
      <c r="AB1299" s="44">
        <v>1296</v>
      </c>
      <c r="AC1299" s="26">
        <v>21535</v>
      </c>
    </row>
    <row r="1300" spans="28:29" x14ac:dyDescent="0.35">
      <c r="AB1300" s="26">
        <v>1297</v>
      </c>
      <c r="AC1300" s="26">
        <v>21556.5</v>
      </c>
    </row>
    <row r="1301" spans="28:29" x14ac:dyDescent="0.35">
      <c r="AB1301" s="44">
        <v>1298</v>
      </c>
      <c r="AC1301" s="26">
        <v>21578</v>
      </c>
    </row>
    <row r="1302" spans="28:29" x14ac:dyDescent="0.35">
      <c r="AB1302" s="26">
        <v>1299</v>
      </c>
      <c r="AC1302" s="26">
        <v>21599.5</v>
      </c>
    </row>
    <row r="1303" spans="28:29" x14ac:dyDescent="0.35">
      <c r="AB1303" s="44">
        <v>1300</v>
      </c>
      <c r="AC1303" s="26">
        <v>21621</v>
      </c>
    </row>
    <row r="1304" spans="28:29" x14ac:dyDescent="0.35">
      <c r="AB1304" s="26">
        <v>1301</v>
      </c>
      <c r="AC1304" s="26">
        <v>21642.5</v>
      </c>
    </row>
    <row r="1305" spans="28:29" x14ac:dyDescent="0.35">
      <c r="AB1305" s="26">
        <v>1302</v>
      </c>
      <c r="AC1305" s="26">
        <v>21664</v>
      </c>
    </row>
    <row r="1306" spans="28:29" x14ac:dyDescent="0.35">
      <c r="AB1306" s="44">
        <v>1303</v>
      </c>
      <c r="AC1306" s="26">
        <v>21685.5</v>
      </c>
    </row>
    <row r="1307" spans="28:29" x14ac:dyDescent="0.35">
      <c r="AB1307" s="26">
        <v>1304</v>
      </c>
      <c r="AC1307" s="26">
        <v>21707</v>
      </c>
    </row>
    <row r="1308" spans="28:29" x14ac:dyDescent="0.35">
      <c r="AB1308" s="44">
        <v>1305</v>
      </c>
      <c r="AC1308" s="26">
        <v>21728.5</v>
      </c>
    </row>
    <row r="1309" spans="28:29" x14ac:dyDescent="0.35">
      <c r="AB1309" s="26">
        <v>1306</v>
      </c>
      <c r="AC1309" s="26">
        <v>21750</v>
      </c>
    </row>
    <row r="1310" spans="28:29" x14ac:dyDescent="0.35">
      <c r="AB1310" s="44">
        <v>1307</v>
      </c>
      <c r="AC1310" s="26">
        <v>21771.5</v>
      </c>
    </row>
    <row r="1311" spans="28:29" x14ac:dyDescent="0.35">
      <c r="AB1311" s="26">
        <v>1308</v>
      </c>
      <c r="AC1311" s="26">
        <v>21793</v>
      </c>
    </row>
    <row r="1312" spans="28:29" x14ac:dyDescent="0.35">
      <c r="AB1312" s="26">
        <v>1309</v>
      </c>
      <c r="AC1312" s="26">
        <v>21814.5</v>
      </c>
    </row>
    <row r="1313" spans="28:29" x14ac:dyDescent="0.35">
      <c r="AB1313" s="44">
        <v>1310</v>
      </c>
      <c r="AC1313" s="26">
        <v>21836</v>
      </c>
    </row>
    <row r="1314" spans="28:29" x14ac:dyDescent="0.35">
      <c r="AB1314" s="26">
        <v>1311</v>
      </c>
      <c r="AC1314" s="26">
        <v>21857.5</v>
      </c>
    </row>
    <row r="1315" spans="28:29" x14ac:dyDescent="0.35">
      <c r="AB1315" s="44">
        <v>1312</v>
      </c>
      <c r="AC1315" s="26">
        <v>21879</v>
      </c>
    </row>
    <row r="1316" spans="28:29" x14ac:dyDescent="0.35">
      <c r="AB1316" s="26">
        <v>1313</v>
      </c>
      <c r="AC1316" s="26">
        <v>21900.5</v>
      </c>
    </row>
    <row r="1317" spans="28:29" x14ac:dyDescent="0.35">
      <c r="AB1317" s="44">
        <v>1314</v>
      </c>
      <c r="AC1317" s="26">
        <v>21922</v>
      </c>
    </row>
    <row r="1318" spans="28:29" x14ac:dyDescent="0.35">
      <c r="AB1318" s="26">
        <v>1315</v>
      </c>
      <c r="AC1318" s="26">
        <v>21943.5</v>
      </c>
    </row>
    <row r="1319" spans="28:29" x14ac:dyDescent="0.35">
      <c r="AB1319" s="26">
        <v>1316</v>
      </c>
      <c r="AC1319" s="26">
        <v>21965</v>
      </c>
    </row>
    <row r="1320" spans="28:29" x14ac:dyDescent="0.35">
      <c r="AB1320" s="44">
        <v>1317</v>
      </c>
      <c r="AC1320" s="26">
        <v>21986.5</v>
      </c>
    </row>
    <row r="1321" spans="28:29" x14ac:dyDescent="0.35">
      <c r="AB1321" s="26">
        <v>1318</v>
      </c>
      <c r="AC1321" s="26">
        <v>22008</v>
      </c>
    </row>
    <row r="1322" spans="28:29" x14ac:dyDescent="0.35">
      <c r="AB1322" s="44">
        <v>1319</v>
      </c>
      <c r="AC1322" s="26">
        <v>22029.5</v>
      </c>
    </row>
    <row r="1323" spans="28:29" x14ac:dyDescent="0.35">
      <c r="AB1323" s="26">
        <v>1320</v>
      </c>
      <c r="AC1323" s="26">
        <v>22051</v>
      </c>
    </row>
    <row r="1324" spans="28:29" x14ac:dyDescent="0.35">
      <c r="AB1324" s="44">
        <v>1321</v>
      </c>
      <c r="AC1324" s="26">
        <v>22072.5</v>
      </c>
    </row>
    <row r="1325" spans="28:29" x14ac:dyDescent="0.35">
      <c r="AB1325" s="26">
        <v>1322</v>
      </c>
      <c r="AC1325" s="26">
        <v>22094</v>
      </c>
    </row>
    <row r="1326" spans="28:29" x14ac:dyDescent="0.35">
      <c r="AB1326" s="26">
        <v>1323</v>
      </c>
      <c r="AC1326" s="26">
        <v>22115.5</v>
      </c>
    </row>
    <row r="1327" spans="28:29" x14ac:dyDescent="0.35">
      <c r="AB1327" s="44">
        <v>1324</v>
      </c>
      <c r="AC1327" s="26">
        <v>22137</v>
      </c>
    </row>
    <row r="1328" spans="28:29" x14ac:dyDescent="0.35">
      <c r="AB1328" s="26">
        <v>1325</v>
      </c>
      <c r="AC1328" s="26">
        <v>22158.5</v>
      </c>
    </row>
    <row r="1329" spans="28:29" x14ac:dyDescent="0.35">
      <c r="AB1329" s="44">
        <v>1326</v>
      </c>
      <c r="AC1329" s="26">
        <v>22180</v>
      </c>
    </row>
    <row r="1330" spans="28:29" x14ac:dyDescent="0.35">
      <c r="AB1330" s="26">
        <v>1327</v>
      </c>
      <c r="AC1330" s="26">
        <v>22201.5</v>
      </c>
    </row>
    <row r="1331" spans="28:29" x14ac:dyDescent="0.35">
      <c r="AB1331" s="44">
        <v>1328</v>
      </c>
      <c r="AC1331" s="26">
        <v>22223</v>
      </c>
    </row>
    <row r="1332" spans="28:29" x14ac:dyDescent="0.35">
      <c r="AB1332" s="26">
        <v>1329</v>
      </c>
      <c r="AC1332" s="26">
        <v>22244.5</v>
      </c>
    </row>
    <row r="1333" spans="28:29" x14ac:dyDescent="0.35">
      <c r="AB1333" s="26">
        <v>1330</v>
      </c>
      <c r="AC1333" s="26">
        <v>22266</v>
      </c>
    </row>
    <row r="1334" spans="28:29" x14ac:dyDescent="0.35">
      <c r="AB1334" s="44">
        <v>1331</v>
      </c>
      <c r="AC1334" s="26">
        <v>22287.5</v>
      </c>
    </row>
    <row r="1335" spans="28:29" x14ac:dyDescent="0.35">
      <c r="AB1335" s="26">
        <v>1332</v>
      </c>
      <c r="AC1335" s="26">
        <v>22309</v>
      </c>
    </row>
    <row r="1336" spans="28:29" x14ac:dyDescent="0.35">
      <c r="AB1336" s="44">
        <v>1333</v>
      </c>
      <c r="AC1336" s="26">
        <v>22330.5</v>
      </c>
    </row>
    <row r="1337" spans="28:29" x14ac:dyDescent="0.35">
      <c r="AB1337" s="26">
        <v>1334</v>
      </c>
      <c r="AC1337" s="26">
        <v>22352</v>
      </c>
    </row>
    <row r="1338" spans="28:29" x14ac:dyDescent="0.35">
      <c r="AB1338" s="44">
        <v>1335</v>
      </c>
      <c r="AC1338" s="26">
        <v>22373.5</v>
      </c>
    </row>
    <row r="1339" spans="28:29" x14ac:dyDescent="0.35">
      <c r="AB1339" s="26">
        <v>1336</v>
      </c>
      <c r="AC1339" s="26">
        <v>22395</v>
      </c>
    </row>
    <row r="1340" spans="28:29" x14ac:dyDescent="0.35">
      <c r="AB1340" s="26">
        <v>1337</v>
      </c>
      <c r="AC1340" s="26">
        <v>22416.5</v>
      </c>
    </row>
    <row r="1341" spans="28:29" x14ac:dyDescent="0.35">
      <c r="AB1341" s="44">
        <v>1338</v>
      </c>
      <c r="AC1341" s="26">
        <v>22438</v>
      </c>
    </row>
    <row r="1342" spans="28:29" x14ac:dyDescent="0.35">
      <c r="AB1342" s="26">
        <v>1339</v>
      </c>
      <c r="AC1342" s="26">
        <v>22459.5</v>
      </c>
    </row>
    <row r="1343" spans="28:29" x14ac:dyDescent="0.35">
      <c r="AB1343" s="44">
        <v>1340</v>
      </c>
      <c r="AC1343" s="26">
        <v>22481</v>
      </c>
    </row>
    <row r="1344" spans="28:29" x14ac:dyDescent="0.35">
      <c r="AB1344" s="26">
        <v>1341</v>
      </c>
      <c r="AC1344" s="26">
        <v>22502.5</v>
      </c>
    </row>
    <row r="1345" spans="28:29" x14ac:dyDescent="0.35">
      <c r="AB1345" s="44">
        <v>1342</v>
      </c>
      <c r="AC1345" s="26">
        <v>22524</v>
      </c>
    </row>
    <row r="1346" spans="28:29" x14ac:dyDescent="0.35">
      <c r="AB1346" s="26">
        <v>1343</v>
      </c>
      <c r="AC1346" s="26">
        <v>22545.5</v>
      </c>
    </row>
    <row r="1347" spans="28:29" x14ac:dyDescent="0.35">
      <c r="AB1347" s="26">
        <v>1344</v>
      </c>
      <c r="AC1347" s="26">
        <v>22567</v>
      </c>
    </row>
    <row r="1348" spans="28:29" x14ac:dyDescent="0.35">
      <c r="AB1348" s="44">
        <v>1345</v>
      </c>
      <c r="AC1348" s="26">
        <v>22588.5</v>
      </c>
    </row>
    <row r="1349" spans="28:29" x14ac:dyDescent="0.35">
      <c r="AB1349" s="26">
        <v>1346</v>
      </c>
      <c r="AC1349" s="26">
        <v>22610</v>
      </c>
    </row>
    <row r="1350" spans="28:29" x14ac:dyDescent="0.35">
      <c r="AB1350" s="44">
        <v>1347</v>
      </c>
      <c r="AC1350" s="26">
        <v>22631.5</v>
      </c>
    </row>
    <row r="1351" spans="28:29" x14ac:dyDescent="0.35">
      <c r="AB1351" s="26">
        <v>1348</v>
      </c>
      <c r="AC1351" s="26">
        <v>22653</v>
      </c>
    </row>
    <row r="1352" spans="28:29" x14ac:dyDescent="0.35">
      <c r="AB1352" s="44">
        <v>1349</v>
      </c>
      <c r="AC1352" s="26">
        <v>22674.5</v>
      </c>
    </row>
    <row r="1353" spans="28:29" x14ac:dyDescent="0.35">
      <c r="AB1353" s="26">
        <v>1350</v>
      </c>
      <c r="AC1353" s="26">
        <v>22696</v>
      </c>
    </row>
    <row r="1354" spans="28:29" x14ac:dyDescent="0.35">
      <c r="AB1354" s="26">
        <v>1351</v>
      </c>
      <c r="AC1354" s="26">
        <v>22717.5</v>
      </c>
    </row>
    <row r="1355" spans="28:29" x14ac:dyDescent="0.35">
      <c r="AB1355" s="44">
        <v>1352</v>
      </c>
      <c r="AC1355" s="26">
        <v>22739</v>
      </c>
    </row>
    <row r="1356" spans="28:29" x14ac:dyDescent="0.35">
      <c r="AB1356" s="26">
        <v>1353</v>
      </c>
      <c r="AC1356" s="26">
        <v>22760.5</v>
      </c>
    </row>
    <row r="1357" spans="28:29" x14ac:dyDescent="0.35">
      <c r="AB1357" s="44">
        <v>1354</v>
      </c>
      <c r="AC1357" s="26">
        <v>22782</v>
      </c>
    </row>
    <row r="1358" spans="28:29" x14ac:dyDescent="0.35">
      <c r="AB1358" s="26">
        <v>1355</v>
      </c>
      <c r="AC1358" s="26">
        <v>22803.5</v>
      </c>
    </row>
    <row r="1359" spans="28:29" x14ac:dyDescent="0.35">
      <c r="AB1359" s="44">
        <v>1356</v>
      </c>
      <c r="AC1359" s="26">
        <v>22825</v>
      </c>
    </row>
    <row r="1360" spans="28:29" x14ac:dyDescent="0.35">
      <c r="AB1360" s="26">
        <v>1357</v>
      </c>
      <c r="AC1360" s="26">
        <v>22846.5</v>
      </c>
    </row>
    <row r="1361" spans="28:29" x14ac:dyDescent="0.35">
      <c r="AB1361" s="26">
        <v>1358</v>
      </c>
      <c r="AC1361" s="26">
        <v>22868</v>
      </c>
    </row>
    <row r="1362" spans="28:29" x14ac:dyDescent="0.35">
      <c r="AB1362" s="44">
        <v>1359</v>
      </c>
      <c r="AC1362" s="26">
        <v>22889.5</v>
      </c>
    </row>
    <row r="1363" spans="28:29" x14ac:dyDescent="0.35">
      <c r="AB1363" s="26">
        <v>1360</v>
      </c>
      <c r="AC1363" s="26">
        <v>22911</v>
      </c>
    </row>
    <row r="1364" spans="28:29" x14ac:dyDescent="0.35">
      <c r="AB1364" s="44">
        <v>1361</v>
      </c>
      <c r="AC1364" s="26">
        <v>22932.5</v>
      </c>
    </row>
    <row r="1365" spans="28:29" x14ac:dyDescent="0.35">
      <c r="AB1365" s="26">
        <v>1362</v>
      </c>
      <c r="AC1365" s="26">
        <v>22954</v>
      </c>
    </row>
    <row r="1366" spans="28:29" x14ac:dyDescent="0.35">
      <c r="AB1366" s="44">
        <v>1363</v>
      </c>
      <c r="AC1366" s="45">
        <v>22975.5</v>
      </c>
    </row>
    <row r="1367" spans="28:29" x14ac:dyDescent="0.35">
      <c r="AB1367" s="26">
        <v>1364</v>
      </c>
      <c r="AC1367" s="45">
        <v>22997</v>
      </c>
    </row>
    <row r="1368" spans="28:29" x14ac:dyDescent="0.35">
      <c r="AB1368" s="26">
        <v>1365</v>
      </c>
      <c r="AC1368" s="45">
        <v>23018.5</v>
      </c>
    </row>
    <row r="1369" spans="28:29" x14ac:dyDescent="0.35">
      <c r="AB1369" s="44">
        <v>1366</v>
      </c>
      <c r="AC1369" s="45">
        <v>23040</v>
      </c>
    </row>
    <row r="1370" spans="28:29" x14ac:dyDescent="0.35">
      <c r="AB1370" s="26">
        <v>1367</v>
      </c>
      <c r="AC1370" s="45">
        <v>23061.5</v>
      </c>
    </row>
    <row r="1371" spans="28:29" x14ac:dyDescent="0.35">
      <c r="AB1371" s="44">
        <v>1368</v>
      </c>
      <c r="AC1371" s="45">
        <v>23083</v>
      </c>
    </row>
    <row r="1372" spans="28:29" x14ac:dyDescent="0.35">
      <c r="AB1372" s="26">
        <v>1369</v>
      </c>
      <c r="AC1372" s="45">
        <v>23104.5</v>
      </c>
    </row>
    <row r="1373" spans="28:29" x14ac:dyDescent="0.35">
      <c r="AB1373" s="44">
        <v>1370</v>
      </c>
      <c r="AC1373" s="45">
        <v>23126</v>
      </c>
    </row>
    <row r="1374" spans="28:29" x14ac:dyDescent="0.35">
      <c r="AB1374" s="26">
        <v>1371</v>
      </c>
      <c r="AC1374" s="45">
        <v>23147.5</v>
      </c>
    </row>
    <row r="1375" spans="28:29" x14ac:dyDescent="0.35">
      <c r="AB1375" s="26">
        <v>1372</v>
      </c>
      <c r="AC1375" s="45">
        <v>23169</v>
      </c>
    </row>
    <row r="1376" spans="28:29" x14ac:dyDescent="0.35">
      <c r="AB1376" s="44">
        <v>1373</v>
      </c>
      <c r="AC1376" s="45">
        <v>23190.5</v>
      </c>
    </row>
    <row r="1377" spans="28:29" x14ac:dyDescent="0.35">
      <c r="AB1377" s="26">
        <v>1374</v>
      </c>
      <c r="AC1377" s="45">
        <v>23212</v>
      </c>
    </row>
    <row r="1378" spans="28:29" x14ac:dyDescent="0.35">
      <c r="AB1378" s="44">
        <v>1375</v>
      </c>
      <c r="AC1378" s="45">
        <v>23233.5</v>
      </c>
    </row>
    <row r="1379" spans="28:29" x14ac:dyDescent="0.35">
      <c r="AB1379" s="26">
        <v>1376</v>
      </c>
      <c r="AC1379" s="45">
        <v>23255</v>
      </c>
    </row>
    <row r="1380" spans="28:29" x14ac:dyDescent="0.35">
      <c r="AB1380" s="44">
        <v>1377</v>
      </c>
      <c r="AC1380" s="45">
        <v>23276.5</v>
      </c>
    </row>
    <row r="1381" spans="28:29" x14ac:dyDescent="0.35">
      <c r="AB1381" s="26">
        <v>1378</v>
      </c>
      <c r="AC1381" s="45">
        <v>23298</v>
      </c>
    </row>
    <row r="1382" spans="28:29" x14ac:dyDescent="0.35">
      <c r="AB1382" s="26">
        <v>1379</v>
      </c>
      <c r="AC1382" s="45">
        <v>23319.5</v>
      </c>
    </row>
    <row r="1383" spans="28:29" x14ac:dyDescent="0.35">
      <c r="AB1383" s="44">
        <v>1380</v>
      </c>
      <c r="AC1383" s="45">
        <v>23341</v>
      </c>
    </row>
    <row r="1384" spans="28:29" x14ac:dyDescent="0.35">
      <c r="AB1384" s="26">
        <v>1381</v>
      </c>
      <c r="AC1384" s="45">
        <v>23362.5</v>
      </c>
    </row>
    <row r="1385" spans="28:29" x14ac:dyDescent="0.35">
      <c r="AB1385" s="44">
        <v>1382</v>
      </c>
      <c r="AC1385" s="45">
        <v>23384</v>
      </c>
    </row>
    <row r="1386" spans="28:29" x14ac:dyDescent="0.35">
      <c r="AB1386" s="26">
        <v>1383</v>
      </c>
      <c r="AC1386" s="45">
        <v>23405.5</v>
      </c>
    </row>
    <row r="1387" spans="28:29" x14ac:dyDescent="0.35">
      <c r="AB1387" s="44">
        <v>1384</v>
      </c>
      <c r="AC1387" s="45">
        <v>23427</v>
      </c>
    </row>
    <row r="1388" spans="28:29" x14ac:dyDescent="0.35">
      <c r="AB1388" s="26">
        <v>1385</v>
      </c>
      <c r="AC1388" s="45">
        <v>23448.5</v>
      </c>
    </row>
    <row r="1389" spans="28:29" x14ac:dyDescent="0.35">
      <c r="AB1389" s="26">
        <v>1386</v>
      </c>
      <c r="AC1389" s="45">
        <v>23470</v>
      </c>
    </row>
    <row r="1390" spans="28:29" x14ac:dyDescent="0.35">
      <c r="AB1390" s="44">
        <v>1387</v>
      </c>
      <c r="AC1390" s="45">
        <v>23491.5</v>
      </c>
    </row>
    <row r="1391" spans="28:29" x14ac:dyDescent="0.35">
      <c r="AB1391" s="26">
        <v>1388</v>
      </c>
      <c r="AC1391" s="45">
        <v>23513</v>
      </c>
    </row>
    <row r="1392" spans="28:29" x14ac:dyDescent="0.35">
      <c r="AB1392" s="44">
        <v>1389</v>
      </c>
      <c r="AC1392" s="45">
        <v>23534.5</v>
      </c>
    </row>
    <row r="1393" spans="28:29" x14ac:dyDescent="0.35">
      <c r="AB1393" s="26">
        <v>1390</v>
      </c>
      <c r="AC1393" s="45">
        <v>23556</v>
      </c>
    </row>
    <row r="1394" spans="28:29" x14ac:dyDescent="0.35">
      <c r="AB1394" s="44">
        <v>1391</v>
      </c>
      <c r="AC1394" s="45">
        <v>23577.5</v>
      </c>
    </row>
    <row r="1395" spans="28:29" x14ac:dyDescent="0.35">
      <c r="AB1395" s="26">
        <v>1392</v>
      </c>
      <c r="AC1395" s="45">
        <v>23599</v>
      </c>
    </row>
    <row r="1396" spans="28:29" x14ac:dyDescent="0.35">
      <c r="AB1396" s="26">
        <v>1393</v>
      </c>
      <c r="AC1396" s="45">
        <v>23620.5</v>
      </c>
    </row>
    <row r="1397" spans="28:29" x14ac:dyDescent="0.35">
      <c r="AB1397" s="44">
        <v>1394</v>
      </c>
      <c r="AC1397" s="45">
        <v>23642</v>
      </c>
    </row>
    <row r="1398" spans="28:29" x14ac:dyDescent="0.35">
      <c r="AB1398" s="26">
        <v>1395</v>
      </c>
      <c r="AC1398" s="45">
        <v>23663.5</v>
      </c>
    </row>
    <row r="1399" spans="28:29" x14ac:dyDescent="0.35">
      <c r="AB1399" s="44">
        <v>1396</v>
      </c>
      <c r="AC1399" s="45">
        <v>23685</v>
      </c>
    </row>
    <row r="1400" spans="28:29" x14ac:dyDescent="0.35">
      <c r="AB1400" s="26">
        <v>1397</v>
      </c>
      <c r="AC1400" s="45">
        <v>23706.5</v>
      </c>
    </row>
    <row r="1401" spans="28:29" x14ac:dyDescent="0.35">
      <c r="AB1401" s="44">
        <v>1398</v>
      </c>
      <c r="AC1401" s="45">
        <v>23728</v>
      </c>
    </row>
    <row r="1402" spans="28:29" x14ac:dyDescent="0.35">
      <c r="AB1402" s="26">
        <v>1399</v>
      </c>
      <c r="AC1402" s="45">
        <v>23749.5</v>
      </c>
    </row>
    <row r="1403" spans="28:29" x14ac:dyDescent="0.35">
      <c r="AB1403" s="26">
        <v>1400</v>
      </c>
      <c r="AC1403" s="45">
        <v>23771</v>
      </c>
    </row>
    <row r="1404" spans="28:29" x14ac:dyDescent="0.35">
      <c r="AB1404" s="44">
        <v>1401</v>
      </c>
      <c r="AC1404" s="45">
        <v>23792.5</v>
      </c>
    </row>
    <row r="1405" spans="28:29" x14ac:dyDescent="0.35">
      <c r="AB1405" s="26">
        <v>1402</v>
      </c>
      <c r="AC1405" s="45">
        <v>23814</v>
      </c>
    </row>
    <row r="1406" spans="28:29" x14ac:dyDescent="0.35">
      <c r="AB1406" s="44">
        <v>1403</v>
      </c>
      <c r="AC1406" s="45">
        <v>23835.5</v>
      </c>
    </row>
    <row r="1407" spans="28:29" x14ac:dyDescent="0.35">
      <c r="AB1407" s="26">
        <v>1404</v>
      </c>
      <c r="AC1407" s="45">
        <v>23857</v>
      </c>
    </row>
    <row r="1408" spans="28:29" x14ac:dyDescent="0.35">
      <c r="AB1408" s="44">
        <v>1405</v>
      </c>
      <c r="AC1408" s="45">
        <v>23878.5</v>
      </c>
    </row>
    <row r="1409" spans="28:29" x14ac:dyDescent="0.35">
      <c r="AB1409" s="26">
        <v>1406</v>
      </c>
      <c r="AC1409" s="45">
        <v>23900</v>
      </c>
    </row>
    <row r="1410" spans="28:29" x14ac:dyDescent="0.35">
      <c r="AB1410" s="26">
        <v>1407</v>
      </c>
      <c r="AC1410" s="45">
        <v>23921.5</v>
      </c>
    </row>
    <row r="1411" spans="28:29" x14ac:dyDescent="0.35">
      <c r="AB1411" s="44">
        <v>1408</v>
      </c>
      <c r="AC1411" s="45">
        <v>23943</v>
      </c>
    </row>
    <row r="1412" spans="28:29" x14ac:dyDescent="0.35">
      <c r="AB1412" s="26">
        <v>1409</v>
      </c>
      <c r="AC1412" s="45">
        <v>23964.5</v>
      </c>
    </row>
    <row r="1413" spans="28:29" x14ac:dyDescent="0.35">
      <c r="AB1413" s="44">
        <v>1410</v>
      </c>
      <c r="AC1413" s="45">
        <v>23986</v>
      </c>
    </row>
    <row r="1414" spans="28:29" x14ac:dyDescent="0.35">
      <c r="AB1414" s="26">
        <v>1411</v>
      </c>
      <c r="AC1414" s="45">
        <v>24007.5</v>
      </c>
    </row>
    <row r="1415" spans="28:29" x14ac:dyDescent="0.35">
      <c r="AB1415" s="44">
        <v>1412</v>
      </c>
      <c r="AC1415" s="45">
        <v>24029</v>
      </c>
    </row>
    <row r="1416" spans="28:29" x14ac:dyDescent="0.35">
      <c r="AB1416" s="26">
        <v>1413</v>
      </c>
      <c r="AC1416" s="45">
        <v>24050.5</v>
      </c>
    </row>
    <row r="1417" spans="28:29" x14ac:dyDescent="0.35">
      <c r="AB1417" s="26">
        <v>1414</v>
      </c>
      <c r="AC1417" s="45">
        <v>24072</v>
      </c>
    </row>
    <row r="1418" spans="28:29" x14ac:dyDescent="0.35">
      <c r="AB1418" s="44">
        <v>1415</v>
      </c>
      <c r="AC1418" s="45">
        <v>24093.5</v>
      </c>
    </row>
    <row r="1419" spans="28:29" x14ac:dyDescent="0.35">
      <c r="AB1419" s="26">
        <v>1416</v>
      </c>
      <c r="AC1419" s="45">
        <v>24115</v>
      </c>
    </row>
    <row r="1420" spans="28:29" x14ac:dyDescent="0.35">
      <c r="AB1420" s="44">
        <v>1417</v>
      </c>
      <c r="AC1420" s="45">
        <v>24136.5</v>
      </c>
    </row>
    <row r="1421" spans="28:29" x14ac:dyDescent="0.35">
      <c r="AB1421" s="26">
        <v>1418</v>
      </c>
      <c r="AC1421" s="45">
        <v>24158</v>
      </c>
    </row>
    <row r="1422" spans="28:29" x14ac:dyDescent="0.35">
      <c r="AB1422" s="44">
        <v>1419</v>
      </c>
      <c r="AC1422" s="45">
        <v>24179.5</v>
      </c>
    </row>
    <row r="1423" spans="28:29" x14ac:dyDescent="0.35">
      <c r="AB1423" s="26">
        <v>1420</v>
      </c>
      <c r="AC1423" s="45">
        <v>24201</v>
      </c>
    </row>
    <row r="1424" spans="28:29" x14ac:dyDescent="0.35">
      <c r="AB1424" s="26">
        <v>1421</v>
      </c>
      <c r="AC1424" s="45">
        <v>24222.25</v>
      </c>
    </row>
    <row r="1425" spans="28:29" x14ac:dyDescent="0.35">
      <c r="AB1425" s="44">
        <v>1422</v>
      </c>
      <c r="AC1425" s="45">
        <v>24243.5</v>
      </c>
    </row>
    <row r="1426" spans="28:29" x14ac:dyDescent="0.35">
      <c r="AB1426" s="26">
        <v>1423</v>
      </c>
      <c r="AC1426" s="45">
        <v>24264.75</v>
      </c>
    </row>
    <row r="1427" spans="28:29" x14ac:dyDescent="0.35">
      <c r="AB1427" s="44">
        <v>1424</v>
      </c>
      <c r="AC1427" s="45">
        <v>24286</v>
      </c>
    </row>
    <row r="1428" spans="28:29" x14ac:dyDescent="0.35">
      <c r="AB1428" s="26">
        <v>1425</v>
      </c>
      <c r="AC1428" s="45">
        <v>24307.5</v>
      </c>
    </row>
    <row r="1429" spans="28:29" x14ac:dyDescent="0.35">
      <c r="AB1429" s="44">
        <v>1426</v>
      </c>
      <c r="AC1429" s="45">
        <v>24329</v>
      </c>
    </row>
    <row r="1430" spans="28:29" x14ac:dyDescent="0.35">
      <c r="AB1430" s="26">
        <v>1427</v>
      </c>
      <c r="AC1430" s="45">
        <v>24350.5</v>
      </c>
    </row>
    <row r="1431" spans="28:29" x14ac:dyDescent="0.35">
      <c r="AB1431" s="26">
        <v>1428</v>
      </c>
      <c r="AC1431" s="45">
        <v>24372</v>
      </c>
    </row>
    <row r="1432" spans="28:29" x14ac:dyDescent="0.35">
      <c r="AB1432" s="44">
        <v>1429</v>
      </c>
      <c r="AC1432" s="45">
        <v>24393.5</v>
      </c>
    </row>
    <row r="1433" spans="28:29" x14ac:dyDescent="0.35">
      <c r="AB1433" s="26">
        <v>1430</v>
      </c>
      <c r="AC1433" s="45">
        <v>24415</v>
      </c>
    </row>
    <row r="1434" spans="28:29" x14ac:dyDescent="0.35">
      <c r="AB1434" s="44">
        <v>1431</v>
      </c>
      <c r="AC1434" s="45">
        <v>24436.5</v>
      </c>
    </row>
    <row r="1435" spans="28:29" x14ac:dyDescent="0.35">
      <c r="AB1435" s="26">
        <v>1432</v>
      </c>
      <c r="AC1435" s="45">
        <v>24458</v>
      </c>
    </row>
    <row r="1436" spans="28:29" x14ac:dyDescent="0.35">
      <c r="AB1436" s="44">
        <v>1433</v>
      </c>
      <c r="AC1436" s="45">
        <v>24479.5</v>
      </c>
    </row>
    <row r="1437" spans="28:29" x14ac:dyDescent="0.35">
      <c r="AB1437" s="26">
        <v>1434</v>
      </c>
      <c r="AC1437" s="45">
        <v>24501</v>
      </c>
    </row>
    <row r="1438" spans="28:29" x14ac:dyDescent="0.35">
      <c r="AB1438" s="26">
        <v>1435</v>
      </c>
      <c r="AC1438" s="45">
        <v>24522.5</v>
      </c>
    </row>
    <row r="1439" spans="28:29" x14ac:dyDescent="0.35">
      <c r="AB1439" s="44">
        <v>1436</v>
      </c>
      <c r="AC1439" s="45">
        <v>24544</v>
      </c>
    </row>
    <row r="1440" spans="28:29" x14ac:dyDescent="0.35">
      <c r="AB1440" s="26">
        <v>1437</v>
      </c>
      <c r="AC1440" s="45">
        <v>24565.5</v>
      </c>
    </row>
    <row r="1441" spans="28:29" x14ac:dyDescent="0.35">
      <c r="AB1441" s="44">
        <v>1438</v>
      </c>
      <c r="AC1441" s="45">
        <v>24587</v>
      </c>
    </row>
    <row r="1442" spans="28:29" x14ac:dyDescent="0.35">
      <c r="AB1442" s="26">
        <v>1439</v>
      </c>
      <c r="AC1442" s="45">
        <v>24608.5</v>
      </c>
    </row>
    <row r="1443" spans="28:29" x14ac:dyDescent="0.35">
      <c r="AB1443" s="44">
        <v>1440</v>
      </c>
      <c r="AC1443" s="45">
        <v>24630</v>
      </c>
    </row>
    <row r="1444" spans="28:29" x14ac:dyDescent="0.35">
      <c r="AB1444" s="26">
        <v>1441</v>
      </c>
      <c r="AC1444" s="45">
        <v>24651.5</v>
      </c>
    </row>
    <row r="1445" spans="28:29" x14ac:dyDescent="0.35">
      <c r="AB1445" s="26">
        <v>1442</v>
      </c>
      <c r="AC1445" s="45">
        <v>24673</v>
      </c>
    </row>
    <row r="1446" spans="28:29" x14ac:dyDescent="0.35">
      <c r="AB1446" s="44">
        <v>1443</v>
      </c>
      <c r="AC1446" s="45">
        <v>24694.5</v>
      </c>
    </row>
    <row r="1447" spans="28:29" x14ac:dyDescent="0.35">
      <c r="AB1447" s="26">
        <v>1444</v>
      </c>
      <c r="AC1447" s="45">
        <v>24716</v>
      </c>
    </row>
    <row r="1448" spans="28:29" x14ac:dyDescent="0.35">
      <c r="AB1448" s="44">
        <v>1445</v>
      </c>
      <c r="AC1448" s="45">
        <v>24737.5</v>
      </c>
    </row>
    <row r="1449" spans="28:29" x14ac:dyDescent="0.35">
      <c r="AB1449" s="26">
        <v>1446</v>
      </c>
      <c r="AC1449" s="45">
        <v>24759</v>
      </c>
    </row>
    <row r="1450" spans="28:29" x14ac:dyDescent="0.35">
      <c r="AB1450" s="44">
        <v>1447</v>
      </c>
      <c r="AC1450" s="45">
        <v>24780.5</v>
      </c>
    </row>
    <row r="1451" spans="28:29" x14ac:dyDescent="0.35">
      <c r="AB1451" s="26">
        <v>1448</v>
      </c>
      <c r="AC1451" s="45">
        <v>24802</v>
      </c>
    </row>
    <row r="1452" spans="28:29" x14ac:dyDescent="0.35">
      <c r="AB1452" s="26">
        <v>1449</v>
      </c>
      <c r="AC1452" s="45">
        <v>24823.5</v>
      </c>
    </row>
    <row r="1453" spans="28:29" x14ac:dyDescent="0.35">
      <c r="AB1453" s="44">
        <v>1450</v>
      </c>
      <c r="AC1453" s="45">
        <v>24845</v>
      </c>
    </row>
    <row r="1454" spans="28:29" x14ac:dyDescent="0.35">
      <c r="AB1454" s="26">
        <v>1451</v>
      </c>
      <c r="AC1454" s="45">
        <v>24866.5</v>
      </c>
    </row>
    <row r="1455" spans="28:29" x14ac:dyDescent="0.35">
      <c r="AB1455" s="44">
        <v>1452</v>
      </c>
      <c r="AC1455" s="45">
        <v>24888</v>
      </c>
    </row>
    <row r="1456" spans="28:29" x14ac:dyDescent="0.35">
      <c r="AB1456" s="26">
        <v>1453</v>
      </c>
      <c r="AC1456" s="45">
        <v>24909.5</v>
      </c>
    </row>
    <row r="1457" spans="28:29" x14ac:dyDescent="0.35">
      <c r="AB1457" s="44">
        <v>1454</v>
      </c>
      <c r="AC1457" s="45">
        <v>24931</v>
      </c>
    </row>
    <row r="1458" spans="28:29" x14ac:dyDescent="0.35">
      <c r="AB1458" s="26">
        <v>1455</v>
      </c>
      <c r="AC1458" s="45">
        <v>24952.5</v>
      </c>
    </row>
    <row r="1459" spans="28:29" x14ac:dyDescent="0.35">
      <c r="AB1459" s="26">
        <v>1456</v>
      </c>
      <c r="AC1459" s="45">
        <v>24974</v>
      </c>
    </row>
    <row r="1460" spans="28:29" x14ac:dyDescent="0.35">
      <c r="AB1460" s="44">
        <v>1457</v>
      </c>
      <c r="AC1460" s="45">
        <v>24995.25</v>
      </c>
    </row>
    <row r="1461" spans="28:29" x14ac:dyDescent="0.35">
      <c r="AB1461" s="26">
        <v>1458</v>
      </c>
      <c r="AC1461" s="45">
        <v>25016.5</v>
      </c>
    </row>
    <row r="1462" spans="28:29" x14ac:dyDescent="0.35">
      <c r="AB1462" s="44">
        <v>1459</v>
      </c>
      <c r="AC1462" s="45">
        <v>25037.75</v>
      </c>
    </row>
    <row r="1463" spans="28:29" x14ac:dyDescent="0.35">
      <c r="AB1463" s="26">
        <v>1460</v>
      </c>
      <c r="AC1463" s="45">
        <v>25059</v>
      </c>
    </row>
    <row r="1464" spans="28:29" x14ac:dyDescent="0.35">
      <c r="AB1464" s="44">
        <v>1461</v>
      </c>
      <c r="AC1464" s="45">
        <v>25080.5</v>
      </c>
    </row>
    <row r="1465" spans="28:29" x14ac:dyDescent="0.35">
      <c r="AB1465" s="26">
        <v>1462</v>
      </c>
      <c r="AC1465" s="45">
        <v>25102</v>
      </c>
    </row>
    <row r="1466" spans="28:29" x14ac:dyDescent="0.35">
      <c r="AB1466" s="26">
        <v>1463</v>
      </c>
      <c r="AC1466" s="45">
        <v>25123.5</v>
      </c>
    </row>
    <row r="1467" spans="28:29" x14ac:dyDescent="0.35">
      <c r="AB1467" s="44">
        <v>1464</v>
      </c>
      <c r="AC1467" s="45">
        <v>25145</v>
      </c>
    </row>
    <row r="1468" spans="28:29" x14ac:dyDescent="0.35">
      <c r="AB1468" s="26">
        <v>1465</v>
      </c>
      <c r="AC1468" s="45">
        <v>25166.5</v>
      </c>
    </row>
    <row r="1469" spans="28:29" x14ac:dyDescent="0.35">
      <c r="AB1469" s="44">
        <v>1466</v>
      </c>
      <c r="AC1469" s="45">
        <v>25188</v>
      </c>
    </row>
    <row r="1470" spans="28:29" x14ac:dyDescent="0.35">
      <c r="AB1470" s="26">
        <v>1467</v>
      </c>
      <c r="AC1470" s="45">
        <v>25209.5</v>
      </c>
    </row>
    <row r="1471" spans="28:29" x14ac:dyDescent="0.35">
      <c r="AB1471" s="44">
        <v>1468</v>
      </c>
      <c r="AC1471" s="45">
        <v>25231</v>
      </c>
    </row>
    <row r="1472" spans="28:29" x14ac:dyDescent="0.35">
      <c r="AB1472" s="26">
        <v>1469</v>
      </c>
      <c r="AC1472" s="45">
        <v>25252.5</v>
      </c>
    </row>
    <row r="1473" spans="28:29" x14ac:dyDescent="0.35">
      <c r="AB1473" s="26">
        <v>1470</v>
      </c>
      <c r="AC1473" s="45">
        <v>25274</v>
      </c>
    </row>
    <row r="1474" spans="28:29" x14ac:dyDescent="0.35">
      <c r="AB1474" s="44">
        <v>1471</v>
      </c>
      <c r="AC1474" s="45">
        <v>25295.5</v>
      </c>
    </row>
    <row r="1475" spans="28:29" x14ac:dyDescent="0.35">
      <c r="AB1475" s="26">
        <v>1472</v>
      </c>
      <c r="AC1475" s="45">
        <v>25317</v>
      </c>
    </row>
    <row r="1476" spans="28:29" x14ac:dyDescent="0.35">
      <c r="AB1476" s="44">
        <v>1473</v>
      </c>
      <c r="AC1476" s="45">
        <v>25338.25</v>
      </c>
    </row>
    <row r="1477" spans="28:29" x14ac:dyDescent="0.35">
      <c r="AB1477" s="26">
        <v>1474</v>
      </c>
      <c r="AC1477" s="45">
        <v>25359.5</v>
      </c>
    </row>
    <row r="1478" spans="28:29" x14ac:dyDescent="0.35">
      <c r="AB1478" s="44">
        <v>1475</v>
      </c>
      <c r="AC1478" s="45">
        <v>25380.75</v>
      </c>
    </row>
    <row r="1479" spans="28:29" x14ac:dyDescent="0.35">
      <c r="AB1479" s="26">
        <v>1476</v>
      </c>
      <c r="AC1479" s="45">
        <v>25402</v>
      </c>
    </row>
    <row r="1480" spans="28:29" x14ac:dyDescent="0.35">
      <c r="AB1480" s="26">
        <v>1477</v>
      </c>
      <c r="AC1480" s="45">
        <v>25423.5</v>
      </c>
    </row>
    <row r="1481" spans="28:29" x14ac:dyDescent="0.35">
      <c r="AB1481" s="44">
        <v>1478</v>
      </c>
      <c r="AC1481" s="45">
        <v>25445</v>
      </c>
    </row>
    <row r="1482" spans="28:29" x14ac:dyDescent="0.35">
      <c r="AB1482" s="26">
        <v>1479</v>
      </c>
      <c r="AC1482" s="45">
        <v>25466.5</v>
      </c>
    </row>
    <row r="1483" spans="28:29" x14ac:dyDescent="0.35">
      <c r="AB1483" s="44">
        <v>1480</v>
      </c>
      <c r="AC1483" s="45">
        <v>25488</v>
      </c>
    </row>
    <row r="1484" spans="28:29" x14ac:dyDescent="0.35">
      <c r="AB1484" s="26">
        <v>1481</v>
      </c>
      <c r="AC1484" s="45">
        <v>25509.5</v>
      </c>
    </row>
    <row r="1485" spans="28:29" x14ac:dyDescent="0.35">
      <c r="AB1485" s="44">
        <v>1482</v>
      </c>
      <c r="AC1485" s="45">
        <v>25531</v>
      </c>
    </row>
    <row r="1486" spans="28:29" x14ac:dyDescent="0.35">
      <c r="AB1486" s="26">
        <v>1483</v>
      </c>
      <c r="AC1486" s="45">
        <v>25552.5</v>
      </c>
    </row>
    <row r="1487" spans="28:29" x14ac:dyDescent="0.35">
      <c r="AB1487" s="26">
        <v>1484</v>
      </c>
      <c r="AC1487" s="45">
        <v>25574</v>
      </c>
    </row>
    <row r="1488" spans="28:29" x14ac:dyDescent="0.35">
      <c r="AB1488" s="44">
        <v>1485</v>
      </c>
      <c r="AC1488" s="45">
        <v>25595.25</v>
      </c>
    </row>
    <row r="1489" spans="28:29" x14ac:dyDescent="0.35">
      <c r="AB1489" s="26">
        <v>1486</v>
      </c>
      <c r="AC1489" s="45">
        <v>25616.5</v>
      </c>
    </row>
    <row r="1490" spans="28:29" x14ac:dyDescent="0.35">
      <c r="AB1490" s="44">
        <v>1487</v>
      </c>
      <c r="AC1490" s="45">
        <v>25637.75</v>
      </c>
    </row>
    <row r="1491" spans="28:29" x14ac:dyDescent="0.35">
      <c r="AB1491" s="26">
        <v>1488</v>
      </c>
      <c r="AC1491" s="45">
        <v>25659</v>
      </c>
    </row>
    <row r="1492" spans="28:29" x14ac:dyDescent="0.35">
      <c r="AB1492" s="44">
        <v>1489</v>
      </c>
      <c r="AC1492" s="45">
        <v>25680.5</v>
      </c>
    </row>
    <row r="1493" spans="28:29" x14ac:dyDescent="0.35">
      <c r="AB1493" s="26">
        <v>1490</v>
      </c>
      <c r="AC1493" s="45">
        <v>25702</v>
      </c>
    </row>
    <row r="1494" spans="28:29" x14ac:dyDescent="0.35">
      <c r="AB1494" s="26">
        <v>1491</v>
      </c>
      <c r="AC1494" s="45">
        <v>25723.5</v>
      </c>
    </row>
    <row r="1495" spans="28:29" x14ac:dyDescent="0.35">
      <c r="AB1495" s="44">
        <v>1492</v>
      </c>
      <c r="AC1495" s="45">
        <v>25745</v>
      </c>
    </row>
    <row r="1496" spans="28:29" x14ac:dyDescent="0.35">
      <c r="AB1496" s="26">
        <v>1493</v>
      </c>
      <c r="AC1496" s="45">
        <v>25766.5</v>
      </c>
    </row>
    <row r="1497" spans="28:29" x14ac:dyDescent="0.35">
      <c r="AB1497" s="44">
        <v>1494</v>
      </c>
      <c r="AC1497" s="45">
        <v>25788</v>
      </c>
    </row>
    <row r="1498" spans="28:29" x14ac:dyDescent="0.35">
      <c r="AB1498" s="26">
        <v>1495</v>
      </c>
      <c r="AC1498" s="45">
        <v>25809.5</v>
      </c>
    </row>
    <row r="1499" spans="28:29" x14ac:dyDescent="0.35">
      <c r="AB1499" s="44">
        <v>1496</v>
      </c>
      <c r="AC1499" s="45">
        <v>25831</v>
      </c>
    </row>
    <row r="1500" spans="28:29" x14ac:dyDescent="0.35">
      <c r="AB1500" s="26">
        <v>1497</v>
      </c>
      <c r="AC1500" s="45">
        <v>25852.25</v>
      </c>
    </row>
    <row r="1501" spans="28:29" x14ac:dyDescent="0.35">
      <c r="AB1501" s="26">
        <v>1498</v>
      </c>
      <c r="AC1501" s="45">
        <v>25873.5</v>
      </c>
    </row>
    <row r="1502" spans="28:29" x14ac:dyDescent="0.35">
      <c r="AB1502" s="44">
        <v>1499</v>
      </c>
      <c r="AC1502" s="45">
        <v>25894.75</v>
      </c>
    </row>
    <row r="1503" spans="28:29" x14ac:dyDescent="0.35">
      <c r="AB1503" s="26">
        <v>1500</v>
      </c>
      <c r="AC1503" s="45">
        <v>25916</v>
      </c>
    </row>
    <row r="1504" spans="28:29" x14ac:dyDescent="0.35">
      <c r="AB1504" s="44">
        <v>1501</v>
      </c>
      <c r="AC1504" s="45">
        <v>25937.5</v>
      </c>
    </row>
    <row r="1505" spans="28:29" x14ac:dyDescent="0.35">
      <c r="AB1505" s="26">
        <v>1502</v>
      </c>
      <c r="AC1505" s="45">
        <v>25959</v>
      </c>
    </row>
    <row r="1506" spans="28:29" x14ac:dyDescent="0.35">
      <c r="AB1506" s="44">
        <v>1503</v>
      </c>
      <c r="AC1506" s="45">
        <v>25980.5</v>
      </c>
    </row>
    <row r="1507" spans="28:29" x14ac:dyDescent="0.35">
      <c r="AB1507" s="26">
        <v>1504</v>
      </c>
      <c r="AC1507" s="45">
        <v>26002</v>
      </c>
    </row>
    <row r="1508" spans="28:29" x14ac:dyDescent="0.35">
      <c r="AB1508" s="26">
        <v>1505</v>
      </c>
      <c r="AC1508" s="45">
        <v>26023.25</v>
      </c>
    </row>
    <row r="1509" spans="28:29" x14ac:dyDescent="0.35">
      <c r="AB1509" s="44">
        <v>1506</v>
      </c>
      <c r="AC1509" s="45">
        <v>26044.5</v>
      </c>
    </row>
    <row r="1510" spans="28:29" x14ac:dyDescent="0.35">
      <c r="AB1510" s="26">
        <v>1507</v>
      </c>
      <c r="AC1510" s="45">
        <v>26065.75</v>
      </c>
    </row>
    <row r="1511" spans="28:29" x14ac:dyDescent="0.35">
      <c r="AB1511" s="44">
        <v>1508</v>
      </c>
      <c r="AC1511" s="45">
        <v>26087</v>
      </c>
    </row>
    <row r="1512" spans="28:29" x14ac:dyDescent="0.35">
      <c r="AB1512" s="26">
        <v>1509</v>
      </c>
      <c r="AC1512" s="45">
        <v>26108.5</v>
      </c>
    </row>
    <row r="1513" spans="28:29" x14ac:dyDescent="0.35">
      <c r="AB1513" s="44">
        <v>1510</v>
      </c>
      <c r="AC1513" s="45">
        <v>26130</v>
      </c>
    </row>
    <row r="1514" spans="28:29" x14ac:dyDescent="0.35">
      <c r="AB1514" s="26">
        <v>1511</v>
      </c>
      <c r="AC1514" s="45">
        <v>26151.5</v>
      </c>
    </row>
    <row r="1515" spans="28:29" x14ac:dyDescent="0.35">
      <c r="AB1515" s="26">
        <v>1512</v>
      </c>
      <c r="AC1515" s="45">
        <v>26173</v>
      </c>
    </row>
    <row r="1516" spans="28:29" x14ac:dyDescent="0.35">
      <c r="AB1516" s="44">
        <v>1513</v>
      </c>
      <c r="AC1516" s="45">
        <v>26194.25</v>
      </c>
    </row>
    <row r="1517" spans="28:29" x14ac:dyDescent="0.35">
      <c r="AB1517" s="26">
        <v>1514</v>
      </c>
      <c r="AC1517" s="45">
        <v>26215.5</v>
      </c>
    </row>
    <row r="1518" spans="28:29" x14ac:dyDescent="0.35">
      <c r="AB1518" s="44">
        <v>1515</v>
      </c>
      <c r="AC1518" s="45">
        <v>26236.75</v>
      </c>
    </row>
    <row r="1519" spans="28:29" x14ac:dyDescent="0.35">
      <c r="AB1519" s="26">
        <v>1516</v>
      </c>
      <c r="AC1519" s="45">
        <v>26258</v>
      </c>
    </row>
    <row r="1520" spans="28:29" x14ac:dyDescent="0.35">
      <c r="AB1520" s="44">
        <v>1517</v>
      </c>
      <c r="AC1520" s="45">
        <v>26279.5</v>
      </c>
    </row>
    <row r="1521" spans="28:29" x14ac:dyDescent="0.35">
      <c r="AB1521" s="26">
        <v>1518</v>
      </c>
      <c r="AC1521" s="45">
        <v>26301</v>
      </c>
    </row>
    <row r="1522" spans="28:29" x14ac:dyDescent="0.35">
      <c r="AB1522" s="26">
        <v>1519</v>
      </c>
      <c r="AC1522" s="45">
        <v>26322.5</v>
      </c>
    </row>
    <row r="1523" spans="28:29" x14ac:dyDescent="0.35">
      <c r="AB1523" s="44">
        <v>1520</v>
      </c>
      <c r="AC1523" s="45">
        <v>26344</v>
      </c>
    </row>
    <row r="1524" spans="28:29" x14ac:dyDescent="0.35">
      <c r="AB1524" s="26">
        <v>1521</v>
      </c>
      <c r="AC1524" s="45">
        <v>26365.25</v>
      </c>
    </row>
    <row r="1525" spans="28:29" x14ac:dyDescent="0.35">
      <c r="AB1525" s="44">
        <v>1522</v>
      </c>
      <c r="AC1525" s="45">
        <v>26386.5</v>
      </c>
    </row>
    <row r="1526" spans="28:29" x14ac:dyDescent="0.35">
      <c r="AB1526" s="26">
        <v>1523</v>
      </c>
      <c r="AC1526" s="45">
        <v>26407.75</v>
      </c>
    </row>
    <row r="1527" spans="28:29" x14ac:dyDescent="0.35">
      <c r="AB1527" s="44">
        <v>1524</v>
      </c>
      <c r="AC1527" s="45">
        <v>26429</v>
      </c>
    </row>
    <row r="1528" spans="28:29" x14ac:dyDescent="0.35">
      <c r="AB1528" s="26">
        <v>1525</v>
      </c>
      <c r="AC1528" s="45">
        <v>26450.5</v>
      </c>
    </row>
    <row r="1529" spans="28:29" x14ac:dyDescent="0.35">
      <c r="AB1529" s="26">
        <v>1526</v>
      </c>
      <c r="AC1529" s="45">
        <v>26472</v>
      </c>
    </row>
    <row r="1530" spans="28:29" x14ac:dyDescent="0.35">
      <c r="AB1530" s="44">
        <v>1527</v>
      </c>
      <c r="AC1530" s="45">
        <v>26493.5</v>
      </c>
    </row>
    <row r="1531" spans="28:29" x14ac:dyDescent="0.35">
      <c r="AB1531" s="26">
        <v>1528</v>
      </c>
      <c r="AC1531" s="45">
        <v>26515</v>
      </c>
    </row>
    <row r="1532" spans="28:29" x14ac:dyDescent="0.35">
      <c r="AB1532" s="44">
        <v>1529</v>
      </c>
      <c r="AC1532" s="45">
        <v>26536.25</v>
      </c>
    </row>
    <row r="1533" spans="28:29" x14ac:dyDescent="0.35">
      <c r="AB1533" s="26">
        <v>1530</v>
      </c>
      <c r="AC1533" s="45">
        <v>26557.5</v>
      </c>
    </row>
    <row r="1534" spans="28:29" x14ac:dyDescent="0.35">
      <c r="AB1534" s="44">
        <v>1531</v>
      </c>
      <c r="AC1534" s="45">
        <v>26578.75</v>
      </c>
    </row>
    <row r="1535" spans="28:29" x14ac:dyDescent="0.35">
      <c r="AB1535" s="26">
        <v>1532</v>
      </c>
      <c r="AC1535" s="45">
        <v>26600</v>
      </c>
    </row>
    <row r="1536" spans="28:29" x14ac:dyDescent="0.35">
      <c r="AB1536" s="26">
        <v>1533</v>
      </c>
      <c r="AC1536" s="45">
        <v>26621.25</v>
      </c>
    </row>
    <row r="1537" spans="28:29" x14ac:dyDescent="0.35">
      <c r="AB1537" s="44">
        <v>1534</v>
      </c>
      <c r="AC1537" s="45">
        <v>26642.5</v>
      </c>
    </row>
    <row r="1538" spans="28:29" x14ac:dyDescent="0.35">
      <c r="AB1538" s="26">
        <v>1535</v>
      </c>
      <c r="AC1538" s="45">
        <v>26663.75</v>
      </c>
    </row>
    <row r="1539" spans="28:29" x14ac:dyDescent="0.35">
      <c r="AB1539" s="44">
        <v>1536</v>
      </c>
      <c r="AC1539" s="45">
        <v>26685</v>
      </c>
    </row>
    <row r="1540" spans="28:29" x14ac:dyDescent="0.35">
      <c r="AB1540" s="26">
        <v>1537</v>
      </c>
      <c r="AC1540" s="45">
        <v>26706.5</v>
      </c>
    </row>
    <row r="1541" spans="28:29" x14ac:dyDescent="0.35">
      <c r="AB1541" s="44">
        <v>1538</v>
      </c>
      <c r="AC1541" s="45">
        <v>26728</v>
      </c>
    </row>
    <row r="1542" spans="28:29" x14ac:dyDescent="0.35">
      <c r="AB1542" s="26">
        <v>1539</v>
      </c>
      <c r="AC1542" s="45">
        <v>26749.5</v>
      </c>
    </row>
    <row r="1543" spans="28:29" x14ac:dyDescent="0.35">
      <c r="AB1543" s="26">
        <v>1540</v>
      </c>
      <c r="AC1543" s="45">
        <v>26771</v>
      </c>
    </row>
    <row r="1544" spans="28:29" x14ac:dyDescent="0.35">
      <c r="AB1544" s="44">
        <v>1541</v>
      </c>
      <c r="AC1544" s="45">
        <v>26792.25</v>
      </c>
    </row>
    <row r="1545" spans="28:29" x14ac:dyDescent="0.35">
      <c r="AB1545" s="26">
        <v>1542</v>
      </c>
      <c r="AC1545" s="45">
        <v>26813.5</v>
      </c>
    </row>
    <row r="1546" spans="28:29" x14ac:dyDescent="0.35">
      <c r="AB1546" s="44">
        <v>1543</v>
      </c>
      <c r="AC1546" s="45">
        <v>26834.75</v>
      </c>
    </row>
    <row r="1547" spans="28:29" x14ac:dyDescent="0.35">
      <c r="AB1547" s="26">
        <v>1544</v>
      </c>
      <c r="AC1547" s="45">
        <v>26856</v>
      </c>
    </row>
    <row r="1548" spans="28:29" x14ac:dyDescent="0.35">
      <c r="AB1548" s="44">
        <v>1545</v>
      </c>
      <c r="AC1548" s="45">
        <v>26877.25</v>
      </c>
    </row>
    <row r="1549" spans="28:29" x14ac:dyDescent="0.35">
      <c r="AB1549" s="26">
        <v>1546</v>
      </c>
      <c r="AC1549" s="45">
        <v>26898.5</v>
      </c>
    </row>
    <row r="1550" spans="28:29" x14ac:dyDescent="0.35">
      <c r="AB1550" s="26">
        <v>1547</v>
      </c>
      <c r="AC1550" s="45">
        <v>26919.75</v>
      </c>
    </row>
    <row r="1551" spans="28:29" x14ac:dyDescent="0.35">
      <c r="AB1551" s="44">
        <v>1548</v>
      </c>
      <c r="AC1551" s="45">
        <v>26941</v>
      </c>
    </row>
    <row r="1552" spans="28:29" x14ac:dyDescent="0.35">
      <c r="AB1552" s="26">
        <v>1549</v>
      </c>
      <c r="AC1552" s="45">
        <v>26962.25</v>
      </c>
    </row>
    <row r="1553" spans="28:29" x14ac:dyDescent="0.35">
      <c r="AB1553" s="44">
        <v>1550</v>
      </c>
      <c r="AC1553" s="45">
        <v>26983.5</v>
      </c>
    </row>
    <row r="1554" spans="28:29" x14ac:dyDescent="0.35">
      <c r="AB1554" s="26">
        <v>1551</v>
      </c>
      <c r="AC1554" s="45">
        <v>27004.75</v>
      </c>
    </row>
    <row r="1555" spans="28:29" x14ac:dyDescent="0.35">
      <c r="AB1555" s="44">
        <v>1552</v>
      </c>
      <c r="AC1555" s="45">
        <v>27026</v>
      </c>
    </row>
    <row r="1556" spans="28:29" x14ac:dyDescent="0.35">
      <c r="AB1556" s="26">
        <v>1553</v>
      </c>
      <c r="AC1556" s="45">
        <v>27047.5</v>
      </c>
    </row>
    <row r="1557" spans="28:29" x14ac:dyDescent="0.35">
      <c r="AB1557" s="26">
        <v>1554</v>
      </c>
      <c r="AC1557" s="45">
        <v>27069</v>
      </c>
    </row>
    <row r="1558" spans="28:29" x14ac:dyDescent="0.35">
      <c r="AB1558" s="44">
        <v>1555</v>
      </c>
      <c r="AC1558" s="45">
        <v>27090.5</v>
      </c>
    </row>
    <row r="1559" spans="28:29" x14ac:dyDescent="0.35">
      <c r="AB1559" s="26">
        <v>1556</v>
      </c>
      <c r="AC1559" s="45">
        <v>27112</v>
      </c>
    </row>
    <row r="1560" spans="28:29" x14ac:dyDescent="0.35">
      <c r="AB1560" s="44">
        <v>1557</v>
      </c>
      <c r="AC1560" s="45">
        <v>27133.25</v>
      </c>
    </row>
    <row r="1561" spans="28:29" x14ac:dyDescent="0.35">
      <c r="AB1561" s="26">
        <v>1558</v>
      </c>
      <c r="AC1561" s="45">
        <v>27154.5</v>
      </c>
    </row>
    <row r="1562" spans="28:29" x14ac:dyDescent="0.35">
      <c r="AB1562" s="44">
        <v>1559</v>
      </c>
      <c r="AC1562" s="45">
        <v>27175.75</v>
      </c>
    </row>
    <row r="1563" spans="28:29" x14ac:dyDescent="0.35">
      <c r="AB1563" s="26">
        <v>1560</v>
      </c>
      <c r="AC1563" s="45">
        <v>27197</v>
      </c>
    </row>
    <row r="1564" spans="28:29" x14ac:dyDescent="0.35">
      <c r="AB1564" s="26">
        <v>1561</v>
      </c>
      <c r="AC1564" s="45">
        <v>27218.25</v>
      </c>
    </row>
    <row r="1565" spans="28:29" x14ac:dyDescent="0.35">
      <c r="AB1565" s="44">
        <v>1562</v>
      </c>
      <c r="AC1565" s="45">
        <v>27239.5</v>
      </c>
    </row>
    <row r="1566" spans="28:29" x14ac:dyDescent="0.35">
      <c r="AB1566" s="26">
        <v>1563</v>
      </c>
      <c r="AC1566" s="45">
        <v>27260.75</v>
      </c>
    </row>
    <row r="1567" spans="28:29" x14ac:dyDescent="0.35">
      <c r="AB1567" s="44">
        <v>1564</v>
      </c>
      <c r="AC1567" s="45">
        <v>27282</v>
      </c>
    </row>
    <row r="1568" spans="28:29" x14ac:dyDescent="0.35">
      <c r="AB1568" s="26">
        <v>1565</v>
      </c>
      <c r="AC1568" s="45">
        <v>27303.25</v>
      </c>
    </row>
    <row r="1569" spans="28:29" x14ac:dyDescent="0.35">
      <c r="AB1569" s="44">
        <v>1566</v>
      </c>
      <c r="AC1569" s="45">
        <v>27324.5</v>
      </c>
    </row>
    <row r="1570" spans="28:29" x14ac:dyDescent="0.35">
      <c r="AB1570" s="26">
        <v>1567</v>
      </c>
      <c r="AC1570" s="45">
        <v>27345.75</v>
      </c>
    </row>
    <row r="1571" spans="28:29" x14ac:dyDescent="0.35">
      <c r="AB1571" s="26">
        <v>1568</v>
      </c>
      <c r="AC1571" s="45">
        <v>27367</v>
      </c>
    </row>
    <row r="1572" spans="28:29" x14ac:dyDescent="0.35">
      <c r="AB1572" s="44">
        <v>1569</v>
      </c>
      <c r="AC1572" s="45">
        <v>27388.25</v>
      </c>
    </row>
    <row r="1573" spans="28:29" x14ac:dyDescent="0.35">
      <c r="AB1573" s="26">
        <v>1570</v>
      </c>
      <c r="AC1573" s="45">
        <v>27409.5</v>
      </c>
    </row>
    <row r="1574" spans="28:29" x14ac:dyDescent="0.35">
      <c r="AB1574" s="44">
        <v>1571</v>
      </c>
      <c r="AC1574" s="45">
        <v>27430.75</v>
      </c>
    </row>
    <row r="1575" spans="28:29" x14ac:dyDescent="0.35">
      <c r="AB1575" s="26">
        <v>1572</v>
      </c>
      <c r="AC1575" s="45">
        <v>27452</v>
      </c>
    </row>
    <row r="1576" spans="28:29" x14ac:dyDescent="0.35">
      <c r="AB1576" s="44">
        <v>1573</v>
      </c>
      <c r="AC1576" s="45">
        <v>27473.25</v>
      </c>
    </row>
    <row r="1577" spans="28:29" x14ac:dyDescent="0.35">
      <c r="AB1577" s="26">
        <v>1574</v>
      </c>
      <c r="AC1577" s="45">
        <v>27494.5</v>
      </c>
    </row>
    <row r="1578" spans="28:29" x14ac:dyDescent="0.35">
      <c r="AB1578" s="26">
        <v>1575</v>
      </c>
      <c r="AC1578" s="45">
        <v>27515.75</v>
      </c>
    </row>
    <row r="1579" spans="28:29" x14ac:dyDescent="0.35">
      <c r="AB1579" s="44">
        <v>1576</v>
      </c>
      <c r="AC1579" s="45">
        <v>27537</v>
      </c>
    </row>
    <row r="1580" spans="28:29" x14ac:dyDescent="0.35">
      <c r="AB1580" s="26">
        <v>1577</v>
      </c>
      <c r="AC1580" s="45">
        <v>27558.25</v>
      </c>
    </row>
    <row r="1581" spans="28:29" x14ac:dyDescent="0.35">
      <c r="AB1581" s="44">
        <v>1578</v>
      </c>
      <c r="AC1581" s="45">
        <v>27579.5</v>
      </c>
    </row>
    <row r="1582" spans="28:29" x14ac:dyDescent="0.35">
      <c r="AB1582" s="26">
        <v>1579</v>
      </c>
      <c r="AC1582" s="45">
        <v>27600.75</v>
      </c>
    </row>
    <row r="1583" spans="28:29" x14ac:dyDescent="0.35">
      <c r="AB1583" s="44">
        <v>1580</v>
      </c>
      <c r="AC1583" s="45">
        <v>27622</v>
      </c>
    </row>
    <row r="1584" spans="28:29" x14ac:dyDescent="0.35">
      <c r="AB1584" s="26">
        <v>1581</v>
      </c>
      <c r="AC1584" s="45">
        <v>27643.25</v>
      </c>
    </row>
    <row r="1585" spans="28:29" x14ac:dyDescent="0.35">
      <c r="AB1585" s="26">
        <v>1582</v>
      </c>
      <c r="AC1585" s="45">
        <v>27664.5</v>
      </c>
    </row>
    <row r="1586" spans="28:29" x14ac:dyDescent="0.35">
      <c r="AB1586" s="44">
        <v>1583</v>
      </c>
      <c r="AC1586" s="45">
        <v>27685.75</v>
      </c>
    </row>
    <row r="1587" spans="28:29" x14ac:dyDescent="0.35">
      <c r="AB1587" s="26">
        <v>1584</v>
      </c>
      <c r="AC1587" s="45">
        <v>27707</v>
      </c>
    </row>
    <row r="1588" spans="28:29" x14ac:dyDescent="0.35">
      <c r="AB1588" s="44">
        <v>1585</v>
      </c>
      <c r="AC1588" s="45">
        <v>27728.25</v>
      </c>
    </row>
    <row r="1589" spans="28:29" x14ac:dyDescent="0.35">
      <c r="AB1589" s="26">
        <v>1586</v>
      </c>
      <c r="AC1589" s="45">
        <v>27749.5</v>
      </c>
    </row>
    <row r="1590" spans="28:29" x14ac:dyDescent="0.35">
      <c r="AB1590" s="44">
        <v>1587</v>
      </c>
      <c r="AC1590" s="45">
        <v>27770.75</v>
      </c>
    </row>
    <row r="1591" spans="28:29" x14ac:dyDescent="0.35">
      <c r="AB1591" s="26">
        <v>1588</v>
      </c>
      <c r="AC1591" s="45">
        <v>27792</v>
      </c>
    </row>
    <row r="1592" spans="28:29" x14ac:dyDescent="0.35">
      <c r="AB1592" s="26">
        <v>1589</v>
      </c>
      <c r="AC1592" s="45">
        <v>27813</v>
      </c>
    </row>
    <row r="1593" spans="28:29" x14ac:dyDescent="0.35">
      <c r="AB1593" s="44">
        <v>1590</v>
      </c>
      <c r="AC1593" s="45">
        <v>27834</v>
      </c>
    </row>
    <row r="1594" spans="28:29" x14ac:dyDescent="0.35">
      <c r="AB1594" s="26">
        <v>1591</v>
      </c>
      <c r="AC1594" s="45">
        <v>27855</v>
      </c>
    </row>
    <row r="1595" spans="28:29" x14ac:dyDescent="0.35">
      <c r="AB1595" s="44">
        <v>1592</v>
      </c>
      <c r="AC1595" s="45">
        <v>27876</v>
      </c>
    </row>
    <row r="1596" spans="28:29" x14ac:dyDescent="0.35">
      <c r="AB1596" s="26">
        <v>1593</v>
      </c>
      <c r="AC1596" s="45">
        <v>27897.25</v>
      </c>
    </row>
    <row r="1597" spans="28:29" x14ac:dyDescent="0.35">
      <c r="AB1597" s="44">
        <v>1594</v>
      </c>
      <c r="AC1597" s="45">
        <v>27918.5</v>
      </c>
    </row>
    <row r="1598" spans="28:29" x14ac:dyDescent="0.35">
      <c r="AB1598" s="26">
        <v>1595</v>
      </c>
      <c r="AC1598" s="45">
        <v>27939.75</v>
      </c>
    </row>
    <row r="1599" spans="28:29" x14ac:dyDescent="0.35">
      <c r="AB1599" s="26">
        <v>1596</v>
      </c>
      <c r="AC1599" s="45">
        <v>27961</v>
      </c>
    </row>
    <row r="1600" spans="28:29" x14ac:dyDescent="0.35">
      <c r="AB1600" s="44">
        <v>1597</v>
      </c>
      <c r="AC1600" s="45">
        <v>27982.25</v>
      </c>
    </row>
    <row r="1601" spans="28:29" x14ac:dyDescent="0.35">
      <c r="AB1601" s="26">
        <v>1598</v>
      </c>
      <c r="AC1601" s="45">
        <v>28003.5</v>
      </c>
    </row>
    <row r="1602" spans="28:29" x14ac:dyDescent="0.35">
      <c r="AB1602" s="44">
        <v>1599</v>
      </c>
      <c r="AC1602" s="45">
        <v>28024.75</v>
      </c>
    </row>
    <row r="1603" spans="28:29" x14ac:dyDescent="0.35">
      <c r="AB1603" s="26">
        <v>1600</v>
      </c>
      <c r="AC1603" s="45">
        <v>28046</v>
      </c>
    </row>
    <row r="1604" spans="28:29" x14ac:dyDescent="0.35">
      <c r="AB1604" s="44">
        <v>1601</v>
      </c>
      <c r="AC1604" s="45">
        <v>28067.25</v>
      </c>
    </row>
    <row r="1605" spans="28:29" x14ac:dyDescent="0.35">
      <c r="AB1605" s="26">
        <v>1602</v>
      </c>
      <c r="AC1605" s="45">
        <v>28088.5</v>
      </c>
    </row>
    <row r="1606" spans="28:29" x14ac:dyDescent="0.35">
      <c r="AB1606" s="26">
        <v>1603</v>
      </c>
      <c r="AC1606" s="45">
        <v>28109.75</v>
      </c>
    </row>
    <row r="1607" spans="28:29" x14ac:dyDescent="0.35">
      <c r="AB1607" s="44">
        <v>1604</v>
      </c>
      <c r="AC1607" s="45">
        <v>28131</v>
      </c>
    </row>
    <row r="1608" spans="28:29" x14ac:dyDescent="0.35">
      <c r="AB1608" s="26">
        <v>1605</v>
      </c>
      <c r="AC1608" s="45">
        <v>28152</v>
      </c>
    </row>
    <row r="1609" spans="28:29" x14ac:dyDescent="0.35">
      <c r="AB1609" s="44">
        <v>1606</v>
      </c>
      <c r="AC1609" s="45">
        <v>28173</v>
      </c>
    </row>
    <row r="1610" spans="28:29" x14ac:dyDescent="0.35">
      <c r="AB1610" s="26">
        <v>1607</v>
      </c>
      <c r="AC1610" s="45">
        <v>28194</v>
      </c>
    </row>
    <row r="1611" spans="28:29" x14ac:dyDescent="0.35">
      <c r="AB1611" s="44">
        <v>1608</v>
      </c>
      <c r="AC1611" s="45">
        <v>28215</v>
      </c>
    </row>
    <row r="1612" spans="28:29" x14ac:dyDescent="0.35">
      <c r="AB1612" s="26">
        <v>1609</v>
      </c>
      <c r="AC1612" s="45">
        <v>28236.25</v>
      </c>
    </row>
    <row r="1613" spans="28:29" x14ac:dyDescent="0.35">
      <c r="AB1613" s="26">
        <v>1610</v>
      </c>
      <c r="AC1613" s="45">
        <v>28257.5</v>
      </c>
    </row>
    <row r="1614" spans="28:29" x14ac:dyDescent="0.35">
      <c r="AB1614" s="44">
        <v>1611</v>
      </c>
      <c r="AC1614" s="45">
        <v>28278.75</v>
      </c>
    </row>
    <row r="1615" spans="28:29" x14ac:dyDescent="0.35">
      <c r="AB1615" s="26">
        <v>1612</v>
      </c>
      <c r="AC1615" s="45">
        <v>28300</v>
      </c>
    </row>
    <row r="1616" spans="28:29" x14ac:dyDescent="0.35">
      <c r="AB1616" s="44">
        <v>1613</v>
      </c>
      <c r="AC1616" s="45">
        <v>28321</v>
      </c>
    </row>
    <row r="1617" spans="28:29" x14ac:dyDescent="0.35">
      <c r="AB1617" s="26">
        <v>1614</v>
      </c>
      <c r="AC1617" s="45">
        <v>28342</v>
      </c>
    </row>
    <row r="1618" spans="28:29" x14ac:dyDescent="0.35">
      <c r="AB1618" s="44">
        <v>1615</v>
      </c>
      <c r="AC1618" s="45">
        <v>28363</v>
      </c>
    </row>
    <row r="1619" spans="28:29" x14ac:dyDescent="0.35">
      <c r="AB1619" s="26">
        <v>1616</v>
      </c>
      <c r="AC1619" s="45">
        <v>28384</v>
      </c>
    </row>
    <row r="1620" spans="28:29" x14ac:dyDescent="0.35">
      <c r="AB1620" s="26">
        <v>1617</v>
      </c>
      <c r="AC1620" s="45">
        <v>28405.25</v>
      </c>
    </row>
    <row r="1621" spans="28:29" x14ac:dyDescent="0.35">
      <c r="AB1621" s="44">
        <v>1618</v>
      </c>
      <c r="AC1621" s="45">
        <v>28426.5</v>
      </c>
    </row>
    <row r="1622" spans="28:29" x14ac:dyDescent="0.35">
      <c r="AB1622" s="26">
        <v>1619</v>
      </c>
      <c r="AC1622" s="45">
        <v>28447.75</v>
      </c>
    </row>
    <row r="1623" spans="28:29" x14ac:dyDescent="0.35">
      <c r="AB1623" s="44">
        <v>1620</v>
      </c>
      <c r="AC1623" s="45">
        <v>28469</v>
      </c>
    </row>
    <row r="1624" spans="28:29" x14ac:dyDescent="0.35">
      <c r="AB1624" s="26">
        <v>1621</v>
      </c>
      <c r="AC1624" s="45">
        <v>28490</v>
      </c>
    </row>
    <row r="1625" spans="28:29" x14ac:dyDescent="0.35">
      <c r="AB1625" s="44">
        <v>1622</v>
      </c>
      <c r="AC1625" s="45">
        <v>28511</v>
      </c>
    </row>
    <row r="1626" spans="28:29" x14ac:dyDescent="0.35">
      <c r="AB1626" s="26">
        <v>1623</v>
      </c>
      <c r="AC1626" s="45">
        <v>28532</v>
      </c>
    </row>
    <row r="1627" spans="28:29" x14ac:dyDescent="0.35">
      <c r="AB1627" s="26">
        <v>1624</v>
      </c>
      <c r="AC1627" s="45">
        <v>28553</v>
      </c>
    </row>
    <row r="1628" spans="28:29" x14ac:dyDescent="0.35">
      <c r="AB1628" s="44">
        <v>1625</v>
      </c>
      <c r="AC1628" s="45">
        <v>28574.25</v>
      </c>
    </row>
    <row r="1629" spans="28:29" x14ac:dyDescent="0.35">
      <c r="AB1629" s="26">
        <v>1626</v>
      </c>
      <c r="AC1629" s="45">
        <v>28595.5</v>
      </c>
    </row>
    <row r="1630" spans="28:29" x14ac:dyDescent="0.35">
      <c r="AB1630" s="44">
        <v>1627</v>
      </c>
      <c r="AC1630" s="45">
        <v>28616.75</v>
      </c>
    </row>
    <row r="1631" spans="28:29" x14ac:dyDescent="0.35">
      <c r="AB1631" s="26">
        <v>1628</v>
      </c>
      <c r="AC1631" s="45">
        <v>28638</v>
      </c>
    </row>
    <row r="1632" spans="28:29" x14ac:dyDescent="0.35">
      <c r="AB1632" s="44">
        <v>1629</v>
      </c>
      <c r="AC1632" s="45">
        <v>28659</v>
      </c>
    </row>
    <row r="1633" spans="28:29" x14ac:dyDescent="0.35">
      <c r="AB1633" s="26">
        <v>1630</v>
      </c>
      <c r="AC1633" s="45">
        <v>28680</v>
      </c>
    </row>
    <row r="1634" spans="28:29" x14ac:dyDescent="0.35">
      <c r="AB1634" s="26">
        <v>1631</v>
      </c>
      <c r="AC1634" s="45">
        <v>28701</v>
      </c>
    </row>
    <row r="1635" spans="28:29" x14ac:dyDescent="0.35">
      <c r="AB1635" s="44">
        <v>1632</v>
      </c>
      <c r="AC1635" s="45">
        <v>28722</v>
      </c>
    </row>
    <row r="1636" spans="28:29" x14ac:dyDescent="0.35">
      <c r="AB1636" s="26">
        <v>1633</v>
      </c>
      <c r="AC1636" s="45">
        <v>28743</v>
      </c>
    </row>
    <row r="1637" spans="28:29" x14ac:dyDescent="0.35">
      <c r="AB1637" s="44">
        <v>1634</v>
      </c>
      <c r="AC1637" s="45">
        <v>28764</v>
      </c>
    </row>
    <row r="1638" spans="28:29" x14ac:dyDescent="0.35">
      <c r="AB1638" s="26">
        <v>1635</v>
      </c>
      <c r="AC1638" s="45">
        <v>28785</v>
      </c>
    </row>
    <row r="1639" spans="28:29" x14ac:dyDescent="0.35">
      <c r="AB1639" s="44">
        <v>1636</v>
      </c>
      <c r="AC1639" s="45">
        <v>28806</v>
      </c>
    </row>
    <row r="1640" spans="28:29" x14ac:dyDescent="0.35">
      <c r="AB1640" s="26">
        <v>1637</v>
      </c>
      <c r="AC1640" s="45">
        <v>28827.25</v>
      </c>
    </row>
    <row r="1641" spans="28:29" x14ac:dyDescent="0.35">
      <c r="AB1641" s="26">
        <v>1638</v>
      </c>
      <c r="AC1641" s="45">
        <v>28848.5</v>
      </c>
    </row>
    <row r="1642" spans="28:29" x14ac:dyDescent="0.35">
      <c r="AB1642" s="44">
        <v>1639</v>
      </c>
      <c r="AC1642" s="45">
        <v>28869.75</v>
      </c>
    </row>
    <row r="1643" spans="28:29" x14ac:dyDescent="0.35">
      <c r="AB1643" s="26">
        <v>1640</v>
      </c>
      <c r="AC1643" s="45">
        <v>28891</v>
      </c>
    </row>
    <row r="1644" spans="28:29" x14ac:dyDescent="0.35">
      <c r="AB1644" s="44">
        <v>1641</v>
      </c>
      <c r="AC1644" s="45">
        <v>28912</v>
      </c>
    </row>
    <row r="1645" spans="28:29" x14ac:dyDescent="0.35">
      <c r="AB1645" s="26">
        <v>1642</v>
      </c>
      <c r="AC1645" s="45">
        <v>28933</v>
      </c>
    </row>
    <row r="1646" spans="28:29" x14ac:dyDescent="0.35">
      <c r="AB1646" s="44">
        <v>1643</v>
      </c>
      <c r="AC1646" s="45">
        <v>28954</v>
      </c>
    </row>
    <row r="1647" spans="28:29" x14ac:dyDescent="0.35">
      <c r="AB1647" s="26">
        <v>1644</v>
      </c>
      <c r="AC1647" s="45">
        <v>28975</v>
      </c>
    </row>
    <row r="1648" spans="28:29" x14ac:dyDescent="0.35">
      <c r="AB1648" s="26">
        <v>1645</v>
      </c>
      <c r="AC1648" s="45">
        <v>28996</v>
      </c>
    </row>
    <row r="1649" spans="28:29" x14ac:dyDescent="0.35">
      <c r="AB1649" s="44">
        <v>1646</v>
      </c>
      <c r="AC1649" s="45">
        <v>29017</v>
      </c>
    </row>
    <row r="1650" spans="28:29" x14ac:dyDescent="0.35">
      <c r="AB1650" s="26">
        <v>1647</v>
      </c>
      <c r="AC1650" s="45">
        <v>29038</v>
      </c>
    </row>
    <row r="1651" spans="28:29" x14ac:dyDescent="0.35">
      <c r="AB1651" s="44">
        <v>1648</v>
      </c>
      <c r="AC1651" s="45">
        <v>29059</v>
      </c>
    </row>
    <row r="1652" spans="28:29" x14ac:dyDescent="0.35">
      <c r="AB1652" s="26">
        <v>1649</v>
      </c>
      <c r="AC1652" s="45">
        <v>29080</v>
      </c>
    </row>
    <row r="1653" spans="28:29" x14ac:dyDescent="0.35">
      <c r="AB1653" s="44">
        <v>1650</v>
      </c>
      <c r="AC1653" s="45">
        <v>29101</v>
      </c>
    </row>
    <row r="1654" spans="28:29" x14ac:dyDescent="0.35">
      <c r="AB1654" s="26">
        <v>1651</v>
      </c>
      <c r="AC1654" s="45">
        <v>29122</v>
      </c>
    </row>
    <row r="1655" spans="28:29" x14ac:dyDescent="0.35">
      <c r="AB1655" s="26">
        <v>1652</v>
      </c>
      <c r="AC1655" s="45">
        <v>29143</v>
      </c>
    </row>
    <row r="1656" spans="28:29" x14ac:dyDescent="0.35">
      <c r="AB1656" s="44">
        <v>1653</v>
      </c>
      <c r="AC1656" s="45">
        <v>29164</v>
      </c>
    </row>
    <row r="1657" spans="28:29" x14ac:dyDescent="0.35">
      <c r="AB1657" s="26">
        <v>1654</v>
      </c>
      <c r="AC1657" s="45">
        <v>29185</v>
      </c>
    </row>
    <row r="1658" spans="28:29" x14ac:dyDescent="0.35">
      <c r="AB1658" s="44">
        <v>1655</v>
      </c>
      <c r="AC1658" s="45">
        <v>29206</v>
      </c>
    </row>
    <row r="1659" spans="28:29" x14ac:dyDescent="0.35">
      <c r="AB1659" s="26">
        <v>1656</v>
      </c>
      <c r="AC1659" s="45">
        <v>29227</v>
      </c>
    </row>
    <row r="1660" spans="28:29" x14ac:dyDescent="0.35">
      <c r="AB1660" s="44">
        <v>1657</v>
      </c>
      <c r="AC1660" s="45">
        <v>29248</v>
      </c>
    </row>
    <row r="1661" spans="28:29" x14ac:dyDescent="0.35">
      <c r="AB1661" s="26">
        <v>1658</v>
      </c>
      <c r="AC1661" s="45">
        <v>29269</v>
      </c>
    </row>
    <row r="1662" spans="28:29" x14ac:dyDescent="0.35">
      <c r="AB1662" s="26">
        <v>1659</v>
      </c>
      <c r="AC1662" s="45">
        <v>29290</v>
      </c>
    </row>
    <row r="1663" spans="28:29" x14ac:dyDescent="0.35">
      <c r="AB1663" s="44">
        <v>1660</v>
      </c>
      <c r="AC1663" s="45">
        <v>29311</v>
      </c>
    </row>
    <row r="1664" spans="28:29" x14ac:dyDescent="0.35">
      <c r="AB1664" s="26">
        <v>1661</v>
      </c>
      <c r="AC1664" s="45">
        <v>29331.5</v>
      </c>
    </row>
    <row r="1665" spans="28:29" x14ac:dyDescent="0.35">
      <c r="AB1665" s="44">
        <v>1662</v>
      </c>
      <c r="AC1665" s="45">
        <v>29352</v>
      </c>
    </row>
    <row r="1666" spans="28:29" x14ac:dyDescent="0.35">
      <c r="AB1666" s="26">
        <v>1663</v>
      </c>
      <c r="AC1666" s="45">
        <v>29372.5</v>
      </c>
    </row>
    <row r="1667" spans="28:29" x14ac:dyDescent="0.35">
      <c r="AB1667" s="44">
        <v>1664</v>
      </c>
      <c r="AC1667" s="45">
        <v>29393</v>
      </c>
    </row>
    <row r="1668" spans="28:29" x14ac:dyDescent="0.35">
      <c r="AB1668" s="26">
        <v>1665</v>
      </c>
      <c r="AC1668" s="45">
        <v>29414.5</v>
      </c>
    </row>
    <row r="1669" spans="28:29" x14ac:dyDescent="0.35">
      <c r="AB1669" s="26">
        <v>1666</v>
      </c>
      <c r="AC1669" s="45">
        <v>29436</v>
      </c>
    </row>
    <row r="1670" spans="28:29" x14ac:dyDescent="0.35">
      <c r="AB1670" s="44">
        <v>1667</v>
      </c>
      <c r="AC1670" s="45">
        <v>29457.5</v>
      </c>
    </row>
    <row r="1671" spans="28:29" x14ac:dyDescent="0.35">
      <c r="AB1671" s="26">
        <v>1668</v>
      </c>
      <c r="AC1671" s="45">
        <v>29479</v>
      </c>
    </row>
    <row r="1672" spans="28:29" x14ac:dyDescent="0.35">
      <c r="AB1672" s="44">
        <v>1669</v>
      </c>
      <c r="AC1672" s="45">
        <v>29499.75</v>
      </c>
    </row>
    <row r="1673" spans="28:29" x14ac:dyDescent="0.35">
      <c r="AB1673" s="26">
        <v>1670</v>
      </c>
      <c r="AC1673" s="45">
        <v>29520.5</v>
      </c>
    </row>
    <row r="1674" spans="28:29" x14ac:dyDescent="0.35">
      <c r="AB1674" s="44">
        <v>1671</v>
      </c>
      <c r="AC1674" s="45">
        <v>29541.25</v>
      </c>
    </row>
    <row r="1675" spans="28:29" x14ac:dyDescent="0.35">
      <c r="AB1675" s="26">
        <v>1672</v>
      </c>
      <c r="AC1675" s="45">
        <v>29562</v>
      </c>
    </row>
    <row r="1676" spans="28:29" x14ac:dyDescent="0.35">
      <c r="AB1676" s="26">
        <v>1673</v>
      </c>
      <c r="AC1676" s="45">
        <v>29583</v>
      </c>
    </row>
    <row r="1677" spans="28:29" x14ac:dyDescent="0.35">
      <c r="AB1677" s="44">
        <v>1674</v>
      </c>
      <c r="AC1677" s="45">
        <v>29604</v>
      </c>
    </row>
    <row r="1678" spans="28:29" x14ac:dyDescent="0.35">
      <c r="AB1678" s="26">
        <v>1675</v>
      </c>
      <c r="AC1678" s="45">
        <v>29625</v>
      </c>
    </row>
    <row r="1679" spans="28:29" x14ac:dyDescent="0.35">
      <c r="AB1679" s="44">
        <v>1676</v>
      </c>
      <c r="AC1679" s="45">
        <v>29646</v>
      </c>
    </row>
    <row r="1680" spans="28:29" x14ac:dyDescent="0.35">
      <c r="AB1680" s="26">
        <v>1677</v>
      </c>
      <c r="AC1680" s="45">
        <v>29667</v>
      </c>
    </row>
    <row r="1681" spans="28:29" x14ac:dyDescent="0.35">
      <c r="AB1681" s="44">
        <v>1678</v>
      </c>
      <c r="AC1681" s="45">
        <v>29688</v>
      </c>
    </row>
    <row r="1682" spans="28:29" x14ac:dyDescent="0.35">
      <c r="AB1682" s="26">
        <v>1679</v>
      </c>
      <c r="AC1682" s="45">
        <v>29709</v>
      </c>
    </row>
    <row r="1683" spans="28:29" x14ac:dyDescent="0.35">
      <c r="AB1683" s="26">
        <v>1680</v>
      </c>
      <c r="AC1683" s="45">
        <v>29730</v>
      </c>
    </row>
    <row r="1684" spans="28:29" x14ac:dyDescent="0.35">
      <c r="AB1684" s="44">
        <v>1681</v>
      </c>
      <c r="AC1684" s="45">
        <v>29751</v>
      </c>
    </row>
    <row r="1685" spans="28:29" x14ac:dyDescent="0.35">
      <c r="AB1685" s="26">
        <v>1682</v>
      </c>
      <c r="AC1685" s="45">
        <v>29772</v>
      </c>
    </row>
    <row r="1686" spans="28:29" x14ac:dyDescent="0.35">
      <c r="AB1686" s="44">
        <v>1683</v>
      </c>
      <c r="AC1686" s="45">
        <v>29793</v>
      </c>
    </row>
    <row r="1687" spans="28:29" x14ac:dyDescent="0.35">
      <c r="AB1687" s="26">
        <v>1684</v>
      </c>
      <c r="AC1687" s="45">
        <v>29814</v>
      </c>
    </row>
    <row r="1688" spans="28:29" x14ac:dyDescent="0.35">
      <c r="AB1688" s="44">
        <v>1685</v>
      </c>
      <c r="AC1688" s="45">
        <v>29834.75</v>
      </c>
    </row>
    <row r="1689" spans="28:29" x14ac:dyDescent="0.35">
      <c r="AB1689" s="26">
        <v>1686</v>
      </c>
      <c r="AC1689" s="45">
        <v>29855.5</v>
      </c>
    </row>
    <row r="1690" spans="28:29" x14ac:dyDescent="0.35">
      <c r="AB1690" s="26">
        <v>1687</v>
      </c>
      <c r="AC1690" s="45">
        <v>29876.25</v>
      </c>
    </row>
    <row r="1691" spans="28:29" x14ac:dyDescent="0.35">
      <c r="AB1691" s="44">
        <v>1688</v>
      </c>
      <c r="AC1691" s="45">
        <v>29897</v>
      </c>
    </row>
    <row r="1692" spans="28:29" x14ac:dyDescent="0.35">
      <c r="AB1692" s="26">
        <v>1689</v>
      </c>
      <c r="AC1692" s="45">
        <v>29917.75</v>
      </c>
    </row>
    <row r="1693" spans="28:29" x14ac:dyDescent="0.35">
      <c r="AB1693" s="44">
        <v>1690</v>
      </c>
      <c r="AC1693" s="45">
        <v>29938.5</v>
      </c>
    </row>
    <row r="1694" spans="28:29" x14ac:dyDescent="0.35">
      <c r="AB1694" s="26">
        <v>1691</v>
      </c>
      <c r="AC1694" s="45">
        <v>29959.25</v>
      </c>
    </row>
    <row r="1695" spans="28:29" x14ac:dyDescent="0.35">
      <c r="AB1695" s="44">
        <v>1692</v>
      </c>
      <c r="AC1695" s="45">
        <v>29980</v>
      </c>
    </row>
    <row r="1696" spans="28:29" x14ac:dyDescent="0.35">
      <c r="AB1696" s="26">
        <v>1693</v>
      </c>
      <c r="AC1696" s="45">
        <v>30000</v>
      </c>
    </row>
    <row r="1697" spans="28:29" x14ac:dyDescent="0.35">
      <c r="AB1697" s="26">
        <v>1694</v>
      </c>
      <c r="AC1697" s="45">
        <v>30020</v>
      </c>
    </row>
    <row r="1698" spans="28:29" x14ac:dyDescent="0.35">
      <c r="AB1698" s="44">
        <v>1695</v>
      </c>
      <c r="AC1698" s="45">
        <v>30040</v>
      </c>
    </row>
    <row r="1699" spans="28:29" x14ac:dyDescent="0.35">
      <c r="AB1699" s="26">
        <v>1696</v>
      </c>
      <c r="AC1699" s="45">
        <v>30060</v>
      </c>
    </row>
    <row r="1700" spans="28:29" x14ac:dyDescent="0.35">
      <c r="AB1700" s="44">
        <v>1697</v>
      </c>
      <c r="AC1700" s="45">
        <v>30081.75</v>
      </c>
    </row>
    <row r="1701" spans="28:29" x14ac:dyDescent="0.35">
      <c r="AB1701" s="26">
        <v>1698</v>
      </c>
      <c r="AC1701" s="45">
        <v>30103.5</v>
      </c>
    </row>
    <row r="1702" spans="28:29" x14ac:dyDescent="0.35">
      <c r="AB1702" s="44">
        <v>1699</v>
      </c>
      <c r="AC1702" s="45">
        <v>30125.25</v>
      </c>
    </row>
    <row r="1703" spans="28:29" x14ac:dyDescent="0.35">
      <c r="AB1703" s="26">
        <v>1700</v>
      </c>
      <c r="AC1703" s="45">
        <v>30147</v>
      </c>
    </row>
    <row r="1704" spans="28:29" x14ac:dyDescent="0.35">
      <c r="AB1704" s="26">
        <v>1701</v>
      </c>
      <c r="AC1704" s="45">
        <v>30168</v>
      </c>
    </row>
    <row r="1705" spans="28:29" x14ac:dyDescent="0.35">
      <c r="AB1705" s="44">
        <v>1702</v>
      </c>
      <c r="AC1705" s="45">
        <v>30189</v>
      </c>
    </row>
    <row r="1706" spans="28:29" x14ac:dyDescent="0.35">
      <c r="AB1706" s="26">
        <v>1703</v>
      </c>
      <c r="AC1706" s="45">
        <v>30210</v>
      </c>
    </row>
    <row r="1707" spans="28:29" x14ac:dyDescent="0.35">
      <c r="AB1707" s="44">
        <v>1704</v>
      </c>
      <c r="AC1707" s="45">
        <v>30231</v>
      </c>
    </row>
    <row r="1708" spans="28:29" x14ac:dyDescent="0.35">
      <c r="AB1708" s="26">
        <v>1705</v>
      </c>
      <c r="AC1708" s="45">
        <v>30251.75</v>
      </c>
    </row>
    <row r="1709" spans="28:29" x14ac:dyDescent="0.35">
      <c r="AB1709" s="44">
        <v>1706</v>
      </c>
      <c r="AC1709" s="45">
        <v>30272.5</v>
      </c>
    </row>
    <row r="1710" spans="28:29" x14ac:dyDescent="0.35">
      <c r="AB1710" s="26">
        <v>1707</v>
      </c>
      <c r="AC1710" s="45">
        <v>30293.25</v>
      </c>
    </row>
    <row r="1711" spans="28:29" x14ac:dyDescent="0.35">
      <c r="AB1711" s="26">
        <v>1708</v>
      </c>
      <c r="AC1711" s="45">
        <v>30314</v>
      </c>
    </row>
    <row r="1712" spans="28:29" x14ac:dyDescent="0.35">
      <c r="AB1712" s="44">
        <v>1709</v>
      </c>
      <c r="AC1712" s="45">
        <v>30334.75</v>
      </c>
    </row>
    <row r="1713" spans="28:29" x14ac:dyDescent="0.35">
      <c r="AB1713" s="26">
        <v>1710</v>
      </c>
      <c r="AC1713" s="45">
        <v>30355.5</v>
      </c>
    </row>
    <row r="1714" spans="28:29" x14ac:dyDescent="0.35">
      <c r="AB1714" s="44">
        <v>1711</v>
      </c>
      <c r="AC1714" s="45">
        <v>30376.25</v>
      </c>
    </row>
    <row r="1715" spans="28:29" x14ac:dyDescent="0.35">
      <c r="AB1715" s="26">
        <v>1712</v>
      </c>
      <c r="AC1715" s="45">
        <v>30397</v>
      </c>
    </row>
    <row r="1716" spans="28:29" x14ac:dyDescent="0.35">
      <c r="AB1716" s="44">
        <v>1713</v>
      </c>
      <c r="AC1716" s="45">
        <v>30417.75</v>
      </c>
    </row>
    <row r="1717" spans="28:29" x14ac:dyDescent="0.35">
      <c r="AB1717" s="26">
        <v>1714</v>
      </c>
      <c r="AC1717" s="45">
        <v>30438.5</v>
      </c>
    </row>
    <row r="1718" spans="28:29" x14ac:dyDescent="0.35">
      <c r="AB1718" s="26">
        <v>1715</v>
      </c>
      <c r="AC1718" s="45">
        <v>30459.25</v>
      </c>
    </row>
    <row r="1719" spans="28:29" x14ac:dyDescent="0.35">
      <c r="AB1719" s="44">
        <v>1716</v>
      </c>
      <c r="AC1719" s="45">
        <v>30480</v>
      </c>
    </row>
    <row r="1720" spans="28:29" x14ac:dyDescent="0.35">
      <c r="AB1720" s="26">
        <v>1717</v>
      </c>
      <c r="AC1720" s="45">
        <v>30500.75</v>
      </c>
    </row>
    <row r="1721" spans="28:29" x14ac:dyDescent="0.35">
      <c r="AB1721" s="44">
        <v>1718</v>
      </c>
      <c r="AC1721" s="45">
        <v>30521.5</v>
      </c>
    </row>
    <row r="1722" spans="28:29" x14ac:dyDescent="0.35">
      <c r="AB1722" s="26">
        <v>1719</v>
      </c>
      <c r="AC1722" s="45">
        <v>30542.25</v>
      </c>
    </row>
    <row r="1723" spans="28:29" x14ac:dyDescent="0.35">
      <c r="AB1723" s="44">
        <v>1720</v>
      </c>
      <c r="AC1723" s="45">
        <v>30563</v>
      </c>
    </row>
    <row r="1724" spans="28:29" x14ac:dyDescent="0.35">
      <c r="AB1724" s="26">
        <v>1721</v>
      </c>
      <c r="AC1724" s="45">
        <v>30583.75</v>
      </c>
    </row>
    <row r="1725" spans="28:29" x14ac:dyDescent="0.35">
      <c r="AB1725" s="26">
        <v>1722</v>
      </c>
      <c r="AC1725" s="45">
        <v>30604.5</v>
      </c>
    </row>
    <row r="1726" spans="28:29" x14ac:dyDescent="0.35">
      <c r="AB1726" s="44">
        <v>1723</v>
      </c>
      <c r="AC1726" s="45">
        <v>30625.25</v>
      </c>
    </row>
    <row r="1727" spans="28:29" x14ac:dyDescent="0.35">
      <c r="AB1727" s="26">
        <v>1724</v>
      </c>
      <c r="AC1727" s="45">
        <v>30646</v>
      </c>
    </row>
    <row r="1728" spans="28:29" x14ac:dyDescent="0.35">
      <c r="AB1728" s="44">
        <v>1725</v>
      </c>
      <c r="AC1728" s="45">
        <v>30666.75</v>
      </c>
    </row>
    <row r="1729" spans="28:29" x14ac:dyDescent="0.35">
      <c r="AB1729" s="26">
        <v>1726</v>
      </c>
      <c r="AC1729" s="45">
        <v>30687.5</v>
      </c>
    </row>
    <row r="1730" spans="28:29" x14ac:dyDescent="0.35">
      <c r="AB1730" s="44">
        <v>1727</v>
      </c>
      <c r="AC1730" s="45">
        <v>30708.25</v>
      </c>
    </row>
    <row r="1731" spans="28:29" x14ac:dyDescent="0.35">
      <c r="AB1731" s="26">
        <v>1728</v>
      </c>
      <c r="AC1731" s="45">
        <v>30729</v>
      </c>
    </row>
    <row r="1732" spans="28:29" x14ac:dyDescent="0.35">
      <c r="AB1732" s="26">
        <v>1729</v>
      </c>
      <c r="AC1732" s="45">
        <v>30749.75</v>
      </c>
    </row>
    <row r="1733" spans="28:29" x14ac:dyDescent="0.35">
      <c r="AB1733" s="44">
        <v>1730</v>
      </c>
      <c r="AC1733" s="45">
        <v>30770.5</v>
      </c>
    </row>
    <row r="1734" spans="28:29" x14ac:dyDescent="0.35">
      <c r="AB1734" s="26">
        <v>1731</v>
      </c>
      <c r="AC1734" s="45">
        <v>30791.25</v>
      </c>
    </row>
    <row r="1735" spans="28:29" x14ac:dyDescent="0.35">
      <c r="AB1735" s="44">
        <v>1732</v>
      </c>
      <c r="AC1735" s="45">
        <v>30812</v>
      </c>
    </row>
    <row r="1736" spans="28:29" x14ac:dyDescent="0.35">
      <c r="AB1736" s="26">
        <v>1733</v>
      </c>
      <c r="AC1736" s="45">
        <v>30832.75</v>
      </c>
    </row>
    <row r="1737" spans="28:29" x14ac:dyDescent="0.35">
      <c r="AB1737" s="44">
        <v>1734</v>
      </c>
      <c r="AC1737" s="45">
        <v>30853.5</v>
      </c>
    </row>
    <row r="1738" spans="28:29" x14ac:dyDescent="0.35">
      <c r="AB1738" s="26">
        <v>1735</v>
      </c>
      <c r="AC1738" s="45">
        <v>30874.25</v>
      </c>
    </row>
    <row r="1739" spans="28:29" x14ac:dyDescent="0.35">
      <c r="AB1739" s="26">
        <v>1736</v>
      </c>
      <c r="AC1739" s="45">
        <v>30895</v>
      </c>
    </row>
    <row r="1740" spans="28:29" x14ac:dyDescent="0.35">
      <c r="AB1740" s="44">
        <v>1737</v>
      </c>
      <c r="AC1740" s="45">
        <v>30915.5</v>
      </c>
    </row>
    <row r="1741" spans="28:29" x14ac:dyDescent="0.35">
      <c r="AB1741" s="26">
        <v>1738</v>
      </c>
      <c r="AC1741" s="45">
        <v>30936</v>
      </c>
    </row>
    <row r="1742" spans="28:29" x14ac:dyDescent="0.35">
      <c r="AB1742" s="44">
        <v>1739</v>
      </c>
      <c r="AC1742" s="45">
        <v>30956.5</v>
      </c>
    </row>
    <row r="1743" spans="28:29" x14ac:dyDescent="0.35">
      <c r="AB1743" s="26">
        <v>1740</v>
      </c>
      <c r="AC1743" s="45">
        <v>30977</v>
      </c>
    </row>
    <row r="1744" spans="28:29" x14ac:dyDescent="0.35">
      <c r="AB1744" s="44">
        <v>1741</v>
      </c>
      <c r="AC1744" s="45">
        <v>30997.75</v>
      </c>
    </row>
    <row r="1745" spans="28:29" x14ac:dyDescent="0.35">
      <c r="AB1745" s="26">
        <v>1742</v>
      </c>
      <c r="AC1745" s="45">
        <v>31018.5</v>
      </c>
    </row>
    <row r="1746" spans="28:29" x14ac:dyDescent="0.35">
      <c r="AB1746" s="26">
        <v>1743</v>
      </c>
      <c r="AC1746" s="45">
        <v>31039.25</v>
      </c>
    </row>
    <row r="1747" spans="28:29" x14ac:dyDescent="0.35">
      <c r="AB1747" s="44">
        <v>1744</v>
      </c>
      <c r="AC1747" s="45">
        <v>31060</v>
      </c>
    </row>
    <row r="1748" spans="28:29" x14ac:dyDescent="0.35">
      <c r="AB1748" s="26">
        <v>1745</v>
      </c>
      <c r="AC1748" s="45">
        <v>31080.5</v>
      </c>
    </row>
    <row r="1749" spans="28:29" x14ac:dyDescent="0.35">
      <c r="AB1749" s="44">
        <v>1746</v>
      </c>
      <c r="AC1749" s="45">
        <v>31101</v>
      </c>
    </row>
    <row r="1750" spans="28:29" x14ac:dyDescent="0.35">
      <c r="AB1750" s="26">
        <v>1747</v>
      </c>
      <c r="AC1750" s="45">
        <v>31121.5</v>
      </c>
    </row>
    <row r="1751" spans="28:29" x14ac:dyDescent="0.35">
      <c r="AB1751" s="44">
        <v>1748</v>
      </c>
      <c r="AC1751" s="45">
        <v>31142</v>
      </c>
    </row>
    <row r="1752" spans="28:29" x14ac:dyDescent="0.35">
      <c r="AB1752" s="26">
        <v>1749</v>
      </c>
      <c r="AC1752" s="45">
        <v>31162.75</v>
      </c>
    </row>
    <row r="1753" spans="28:29" x14ac:dyDescent="0.35">
      <c r="AB1753" s="26">
        <v>1750</v>
      </c>
      <c r="AC1753" s="45">
        <v>31183.5</v>
      </c>
    </row>
    <row r="1754" spans="28:29" x14ac:dyDescent="0.35">
      <c r="AB1754" s="44">
        <v>1751</v>
      </c>
      <c r="AC1754" s="45">
        <v>31204.25</v>
      </c>
    </row>
    <row r="1755" spans="28:29" x14ac:dyDescent="0.35">
      <c r="AB1755" s="26">
        <v>1752</v>
      </c>
      <c r="AC1755" s="45">
        <v>31225</v>
      </c>
    </row>
    <row r="1756" spans="28:29" x14ac:dyDescent="0.35">
      <c r="AB1756" s="44">
        <v>1753</v>
      </c>
      <c r="AC1756" s="45">
        <v>31245.5</v>
      </c>
    </row>
    <row r="1757" spans="28:29" x14ac:dyDescent="0.35">
      <c r="AB1757" s="26">
        <v>1754</v>
      </c>
      <c r="AC1757" s="45">
        <v>31266</v>
      </c>
    </row>
    <row r="1758" spans="28:29" x14ac:dyDescent="0.35">
      <c r="AB1758" s="44">
        <v>1755</v>
      </c>
      <c r="AC1758" s="45">
        <v>31286.5</v>
      </c>
    </row>
    <row r="1759" spans="28:29" x14ac:dyDescent="0.35">
      <c r="AB1759" s="26">
        <v>1756</v>
      </c>
      <c r="AC1759" s="45">
        <v>31307</v>
      </c>
    </row>
    <row r="1760" spans="28:29" x14ac:dyDescent="0.35">
      <c r="AB1760" s="26">
        <v>1757</v>
      </c>
      <c r="AC1760" s="45">
        <v>31327.75</v>
      </c>
    </row>
    <row r="1761" spans="28:29" x14ac:dyDescent="0.35">
      <c r="AB1761" s="44">
        <v>1758</v>
      </c>
      <c r="AC1761" s="45">
        <v>31348.5</v>
      </c>
    </row>
    <row r="1762" spans="28:29" x14ac:dyDescent="0.35">
      <c r="AB1762" s="26">
        <v>1759</v>
      </c>
      <c r="AC1762" s="45">
        <v>31369.25</v>
      </c>
    </row>
    <row r="1763" spans="28:29" x14ac:dyDescent="0.35">
      <c r="AB1763" s="44">
        <v>1760</v>
      </c>
      <c r="AC1763" s="45">
        <v>31390</v>
      </c>
    </row>
    <row r="1764" spans="28:29" x14ac:dyDescent="0.35">
      <c r="AB1764" s="26">
        <v>1761</v>
      </c>
      <c r="AC1764" s="45">
        <v>31410.5</v>
      </c>
    </row>
    <row r="1765" spans="28:29" x14ac:dyDescent="0.35">
      <c r="AB1765" s="44">
        <v>1762</v>
      </c>
      <c r="AC1765" s="45">
        <v>31431</v>
      </c>
    </row>
    <row r="1766" spans="28:29" x14ac:dyDescent="0.35">
      <c r="AB1766" s="26">
        <v>1763</v>
      </c>
      <c r="AC1766" s="45">
        <v>31451.5</v>
      </c>
    </row>
    <row r="1767" spans="28:29" x14ac:dyDescent="0.35">
      <c r="AB1767" s="26">
        <v>1764</v>
      </c>
      <c r="AC1767" s="45">
        <v>31472</v>
      </c>
    </row>
    <row r="1768" spans="28:29" x14ac:dyDescent="0.35">
      <c r="AB1768" s="44">
        <v>1765</v>
      </c>
      <c r="AC1768" s="45">
        <v>31492.5</v>
      </c>
    </row>
    <row r="1769" spans="28:29" x14ac:dyDescent="0.35">
      <c r="AB1769" s="26">
        <v>1766</v>
      </c>
      <c r="AC1769" s="45">
        <v>31513</v>
      </c>
    </row>
    <row r="1770" spans="28:29" x14ac:dyDescent="0.35">
      <c r="AB1770" s="44">
        <v>1767</v>
      </c>
      <c r="AC1770" s="45">
        <v>31533.5</v>
      </c>
    </row>
    <row r="1771" spans="28:29" x14ac:dyDescent="0.35">
      <c r="AB1771" s="26">
        <v>1768</v>
      </c>
      <c r="AC1771" s="45">
        <v>31554</v>
      </c>
    </row>
    <row r="1772" spans="28:29" x14ac:dyDescent="0.35">
      <c r="AB1772" s="44">
        <v>1769</v>
      </c>
      <c r="AC1772" s="45">
        <v>31574.5</v>
      </c>
    </row>
    <row r="1773" spans="28:29" x14ac:dyDescent="0.35">
      <c r="AB1773" s="26">
        <v>1770</v>
      </c>
      <c r="AC1773" s="45">
        <v>31595</v>
      </c>
    </row>
    <row r="1774" spans="28:29" x14ac:dyDescent="0.35">
      <c r="AB1774" s="26">
        <v>1771</v>
      </c>
      <c r="AC1774" s="45">
        <v>31615.5</v>
      </c>
    </row>
    <row r="1775" spans="28:29" x14ac:dyDescent="0.35">
      <c r="AB1775" s="44">
        <v>1772</v>
      </c>
      <c r="AC1775" s="45">
        <v>31636</v>
      </c>
    </row>
    <row r="1776" spans="28:29" x14ac:dyDescent="0.35">
      <c r="AB1776" s="26">
        <v>1773</v>
      </c>
      <c r="AC1776" s="45">
        <v>31656.5</v>
      </c>
    </row>
    <row r="1777" spans="28:29" x14ac:dyDescent="0.35">
      <c r="AB1777" s="44">
        <v>1774</v>
      </c>
      <c r="AC1777" s="45">
        <v>31677</v>
      </c>
    </row>
    <row r="1778" spans="28:29" x14ac:dyDescent="0.35">
      <c r="AB1778" s="26">
        <v>1775</v>
      </c>
      <c r="AC1778" s="45">
        <v>31697.5</v>
      </c>
    </row>
    <row r="1779" spans="28:29" x14ac:dyDescent="0.35">
      <c r="AB1779" s="44">
        <v>1776</v>
      </c>
      <c r="AC1779" s="45">
        <v>31718</v>
      </c>
    </row>
    <row r="1780" spans="28:29" x14ac:dyDescent="0.35">
      <c r="AB1780" s="26">
        <v>1777</v>
      </c>
      <c r="AC1780" s="45">
        <v>31738.5</v>
      </c>
    </row>
    <row r="1781" spans="28:29" x14ac:dyDescent="0.35">
      <c r="AB1781" s="26">
        <v>1778</v>
      </c>
      <c r="AC1781" s="45">
        <v>31759</v>
      </c>
    </row>
    <row r="1782" spans="28:29" x14ac:dyDescent="0.35">
      <c r="AB1782" s="44">
        <v>1779</v>
      </c>
      <c r="AC1782" s="45">
        <v>31779.5</v>
      </c>
    </row>
    <row r="1783" spans="28:29" x14ac:dyDescent="0.35">
      <c r="AB1783" s="26">
        <v>1780</v>
      </c>
      <c r="AC1783" s="45">
        <v>31800</v>
      </c>
    </row>
    <row r="1784" spans="28:29" x14ac:dyDescent="0.35">
      <c r="AB1784" s="44">
        <v>1781</v>
      </c>
      <c r="AC1784" s="45">
        <v>31820.5</v>
      </c>
    </row>
    <row r="1785" spans="28:29" x14ac:dyDescent="0.35">
      <c r="AB1785" s="26">
        <v>1782</v>
      </c>
      <c r="AC1785" s="45">
        <v>31841</v>
      </c>
    </row>
    <row r="1786" spans="28:29" x14ac:dyDescent="0.35">
      <c r="AB1786" s="44">
        <v>1783</v>
      </c>
      <c r="AC1786" s="45">
        <v>31861.5</v>
      </c>
    </row>
    <row r="1787" spans="28:29" x14ac:dyDescent="0.35">
      <c r="AB1787" s="26">
        <v>1784</v>
      </c>
      <c r="AC1787" s="45">
        <v>31882</v>
      </c>
    </row>
    <row r="1788" spans="28:29" x14ac:dyDescent="0.35">
      <c r="AB1788" s="26">
        <v>1785</v>
      </c>
      <c r="AC1788" s="45">
        <v>31902.5</v>
      </c>
    </row>
    <row r="1789" spans="28:29" x14ac:dyDescent="0.35">
      <c r="AB1789" s="44">
        <v>1786</v>
      </c>
      <c r="AC1789" s="45">
        <v>31923</v>
      </c>
    </row>
    <row r="1790" spans="28:29" x14ac:dyDescent="0.35">
      <c r="AB1790" s="26">
        <v>1787</v>
      </c>
      <c r="AC1790" s="45">
        <v>31943.5</v>
      </c>
    </row>
    <row r="1791" spans="28:29" x14ac:dyDescent="0.35">
      <c r="AB1791" s="44">
        <v>1788</v>
      </c>
      <c r="AC1791" s="45">
        <v>31964</v>
      </c>
    </row>
    <row r="1792" spans="28:29" x14ac:dyDescent="0.35">
      <c r="AB1792" s="26">
        <v>1789</v>
      </c>
      <c r="AC1792" s="45">
        <v>31984.25</v>
      </c>
    </row>
    <row r="1793" spans="28:29" x14ac:dyDescent="0.35">
      <c r="AB1793" s="44">
        <v>1790</v>
      </c>
      <c r="AC1793" s="45">
        <v>32004.5</v>
      </c>
    </row>
    <row r="1794" spans="28:29" x14ac:dyDescent="0.35">
      <c r="AB1794" s="26">
        <v>1791</v>
      </c>
      <c r="AC1794" s="45">
        <v>32024.75</v>
      </c>
    </row>
    <row r="1795" spans="28:29" x14ac:dyDescent="0.35">
      <c r="AB1795" s="26">
        <v>1792</v>
      </c>
      <c r="AC1795" s="45">
        <v>32045</v>
      </c>
    </row>
    <row r="1796" spans="28:29" x14ac:dyDescent="0.35">
      <c r="AB1796" s="44">
        <v>1793</v>
      </c>
      <c r="AC1796" s="45">
        <v>32065.5</v>
      </c>
    </row>
    <row r="1797" spans="28:29" x14ac:dyDescent="0.35">
      <c r="AB1797" s="26">
        <v>1794</v>
      </c>
      <c r="AC1797" s="45">
        <v>32086</v>
      </c>
    </row>
    <row r="1798" spans="28:29" x14ac:dyDescent="0.35">
      <c r="AB1798" s="44">
        <v>1795</v>
      </c>
      <c r="AC1798" s="45">
        <v>32106.5</v>
      </c>
    </row>
    <row r="1799" spans="28:29" x14ac:dyDescent="0.35">
      <c r="AB1799" s="26">
        <v>1796</v>
      </c>
      <c r="AC1799" s="45">
        <v>32127</v>
      </c>
    </row>
    <row r="1800" spans="28:29" x14ac:dyDescent="0.35">
      <c r="AB1800" s="44">
        <v>1797</v>
      </c>
      <c r="AC1800" s="45">
        <v>32147.25</v>
      </c>
    </row>
    <row r="1801" spans="28:29" x14ac:dyDescent="0.35">
      <c r="AB1801" s="26">
        <v>1798</v>
      </c>
      <c r="AC1801" s="45">
        <v>32167.5</v>
      </c>
    </row>
    <row r="1802" spans="28:29" x14ac:dyDescent="0.35">
      <c r="AB1802" s="26">
        <v>1799</v>
      </c>
      <c r="AC1802" s="45">
        <v>32187.75</v>
      </c>
    </row>
    <row r="1803" spans="28:29" x14ac:dyDescent="0.35">
      <c r="AB1803" s="44">
        <v>1800</v>
      </c>
      <c r="AC1803" s="45">
        <v>32208</v>
      </c>
    </row>
    <row r="1804" spans="28:29" x14ac:dyDescent="0.35">
      <c r="AB1804" s="26">
        <v>1801</v>
      </c>
      <c r="AC1804" s="45">
        <v>32228.5</v>
      </c>
    </row>
    <row r="1805" spans="28:29" x14ac:dyDescent="0.35">
      <c r="AB1805" s="44">
        <v>1802</v>
      </c>
      <c r="AC1805" s="45">
        <v>32249</v>
      </c>
    </row>
    <row r="1806" spans="28:29" x14ac:dyDescent="0.35">
      <c r="AB1806" s="26">
        <v>1803</v>
      </c>
      <c r="AC1806" s="45">
        <v>32269.5</v>
      </c>
    </row>
    <row r="1807" spans="28:29" x14ac:dyDescent="0.35">
      <c r="AB1807" s="44">
        <v>1804</v>
      </c>
      <c r="AC1807" s="45">
        <v>32290</v>
      </c>
    </row>
    <row r="1808" spans="28:29" x14ac:dyDescent="0.35">
      <c r="AB1808" s="26">
        <v>1805</v>
      </c>
      <c r="AC1808" s="45">
        <v>32310.25</v>
      </c>
    </row>
    <row r="1809" spans="28:29" x14ac:dyDescent="0.35">
      <c r="AB1809" s="26">
        <v>1806</v>
      </c>
      <c r="AC1809" s="45">
        <v>32330.5</v>
      </c>
    </row>
    <row r="1810" spans="28:29" x14ac:dyDescent="0.35">
      <c r="AB1810" s="44">
        <v>1807</v>
      </c>
      <c r="AC1810" s="45">
        <v>32350.75</v>
      </c>
    </row>
    <row r="1811" spans="28:29" x14ac:dyDescent="0.35">
      <c r="AB1811" s="26">
        <v>1808</v>
      </c>
      <c r="AC1811" s="45">
        <v>32371</v>
      </c>
    </row>
    <row r="1812" spans="28:29" x14ac:dyDescent="0.35">
      <c r="AB1812" s="44">
        <v>1809</v>
      </c>
      <c r="AC1812" s="45">
        <v>32391.25</v>
      </c>
    </row>
    <row r="1813" spans="28:29" x14ac:dyDescent="0.35">
      <c r="AB1813" s="26">
        <v>1810</v>
      </c>
      <c r="AC1813" s="45">
        <v>32411.5</v>
      </c>
    </row>
    <row r="1814" spans="28:29" x14ac:dyDescent="0.35">
      <c r="AB1814" s="44">
        <v>1811</v>
      </c>
      <c r="AC1814" s="45">
        <v>32431.75</v>
      </c>
    </row>
    <row r="1815" spans="28:29" x14ac:dyDescent="0.35">
      <c r="AB1815" s="26">
        <v>1812</v>
      </c>
      <c r="AC1815" s="45">
        <v>32452</v>
      </c>
    </row>
    <row r="1816" spans="28:29" x14ac:dyDescent="0.35">
      <c r="AB1816" s="26">
        <v>1813</v>
      </c>
      <c r="AC1816" s="45">
        <v>32472.25</v>
      </c>
    </row>
    <row r="1817" spans="28:29" x14ac:dyDescent="0.35">
      <c r="AB1817" s="44">
        <v>1814</v>
      </c>
      <c r="AC1817" s="45">
        <v>32492.5</v>
      </c>
    </row>
    <row r="1818" spans="28:29" x14ac:dyDescent="0.35">
      <c r="AB1818" s="26">
        <v>1815</v>
      </c>
      <c r="AC1818" s="45">
        <v>32512.75</v>
      </c>
    </row>
    <row r="1819" spans="28:29" x14ac:dyDescent="0.35">
      <c r="AB1819" s="44">
        <v>1816</v>
      </c>
      <c r="AC1819" s="45">
        <v>32533</v>
      </c>
    </row>
    <row r="1820" spans="28:29" x14ac:dyDescent="0.35">
      <c r="AB1820" s="26">
        <v>1817</v>
      </c>
      <c r="AC1820" s="45">
        <v>32553.25</v>
      </c>
    </row>
    <row r="1821" spans="28:29" x14ac:dyDescent="0.35">
      <c r="AB1821" s="44">
        <v>1818</v>
      </c>
      <c r="AC1821" s="45">
        <v>32573.5</v>
      </c>
    </row>
    <row r="1822" spans="28:29" x14ac:dyDescent="0.35">
      <c r="AB1822" s="26">
        <v>1819</v>
      </c>
      <c r="AC1822" s="45">
        <v>32593.75</v>
      </c>
    </row>
    <row r="1823" spans="28:29" x14ac:dyDescent="0.35">
      <c r="AB1823" s="26">
        <v>1820</v>
      </c>
      <c r="AC1823" s="45">
        <v>32614</v>
      </c>
    </row>
    <row r="1824" spans="28:29" x14ac:dyDescent="0.35">
      <c r="AB1824" s="44">
        <v>1821</v>
      </c>
      <c r="AC1824" s="45">
        <v>32634.25</v>
      </c>
    </row>
    <row r="1825" spans="28:29" x14ac:dyDescent="0.35">
      <c r="AB1825" s="26">
        <v>1822</v>
      </c>
      <c r="AC1825" s="45">
        <v>32654.5</v>
      </c>
    </row>
    <row r="1826" spans="28:29" x14ac:dyDescent="0.35">
      <c r="AB1826" s="44">
        <v>1823</v>
      </c>
      <c r="AC1826" s="45">
        <v>32674.75</v>
      </c>
    </row>
    <row r="1827" spans="28:29" x14ac:dyDescent="0.35">
      <c r="AB1827" s="26">
        <v>1824</v>
      </c>
      <c r="AC1827" s="45">
        <v>32695</v>
      </c>
    </row>
    <row r="1828" spans="28:29" x14ac:dyDescent="0.35">
      <c r="AB1828" s="44">
        <v>1825</v>
      </c>
      <c r="AC1828" s="45">
        <v>32715.25</v>
      </c>
    </row>
    <row r="1829" spans="28:29" x14ac:dyDescent="0.35">
      <c r="AB1829" s="26">
        <v>1826</v>
      </c>
      <c r="AC1829" s="45">
        <v>32735.5</v>
      </c>
    </row>
    <row r="1830" spans="28:29" x14ac:dyDescent="0.35">
      <c r="AB1830" s="26">
        <v>1827</v>
      </c>
      <c r="AC1830" s="45">
        <v>32755.75</v>
      </c>
    </row>
    <row r="1831" spans="28:29" x14ac:dyDescent="0.35">
      <c r="AB1831" s="44">
        <v>1828</v>
      </c>
      <c r="AC1831" s="45">
        <v>32776</v>
      </c>
    </row>
    <row r="1832" spans="28:29" x14ac:dyDescent="0.35">
      <c r="AB1832" s="26">
        <v>1829</v>
      </c>
      <c r="AC1832" s="45">
        <v>32796.25</v>
      </c>
    </row>
    <row r="1833" spans="28:29" x14ac:dyDescent="0.35">
      <c r="AB1833" s="44">
        <v>1830</v>
      </c>
      <c r="AC1833" s="45">
        <v>32816.5</v>
      </c>
    </row>
    <row r="1834" spans="28:29" x14ac:dyDescent="0.35">
      <c r="AB1834" s="26">
        <v>1831</v>
      </c>
      <c r="AC1834" s="45">
        <v>32836.75</v>
      </c>
    </row>
    <row r="1835" spans="28:29" x14ac:dyDescent="0.35">
      <c r="AB1835" s="44">
        <v>1832</v>
      </c>
      <c r="AC1835" s="45">
        <v>32857</v>
      </c>
    </row>
    <row r="1836" spans="28:29" x14ac:dyDescent="0.35">
      <c r="AB1836" s="26">
        <v>1833</v>
      </c>
      <c r="AC1836" s="45">
        <v>32877.25</v>
      </c>
    </row>
    <row r="1837" spans="28:29" x14ac:dyDescent="0.35">
      <c r="AB1837" s="26">
        <v>1834</v>
      </c>
      <c r="AC1837" s="45">
        <v>32897.5</v>
      </c>
    </row>
    <row r="1838" spans="28:29" x14ac:dyDescent="0.35">
      <c r="AB1838" s="44">
        <v>1835</v>
      </c>
      <c r="AC1838" s="45">
        <v>32917.75</v>
      </c>
    </row>
    <row r="1839" spans="28:29" x14ac:dyDescent="0.35">
      <c r="AB1839" s="26">
        <v>1836</v>
      </c>
      <c r="AC1839" s="45">
        <v>32938</v>
      </c>
    </row>
    <row r="1840" spans="28:29" x14ac:dyDescent="0.35">
      <c r="AB1840" s="44">
        <v>1837</v>
      </c>
      <c r="AC1840" s="45">
        <v>32958</v>
      </c>
    </row>
    <row r="1841" spans="28:29" x14ac:dyDescent="0.35">
      <c r="AB1841" s="26">
        <v>1838</v>
      </c>
      <c r="AC1841" s="45">
        <v>32978</v>
      </c>
    </row>
    <row r="1842" spans="28:29" x14ac:dyDescent="0.35">
      <c r="AB1842" s="44">
        <v>1839</v>
      </c>
      <c r="AC1842" s="45">
        <v>32998</v>
      </c>
    </row>
    <row r="1843" spans="28:29" x14ac:dyDescent="0.35">
      <c r="AB1843" s="26">
        <v>1840</v>
      </c>
      <c r="AC1843" s="45">
        <v>33018</v>
      </c>
    </row>
    <row r="1844" spans="28:29" x14ac:dyDescent="0.35">
      <c r="AB1844" s="26">
        <v>1841</v>
      </c>
      <c r="AC1844" s="45">
        <v>33038.25</v>
      </c>
    </row>
    <row r="1845" spans="28:29" x14ac:dyDescent="0.35">
      <c r="AB1845" s="44">
        <v>1842</v>
      </c>
      <c r="AC1845" s="45">
        <v>33058.5</v>
      </c>
    </row>
    <row r="1846" spans="28:29" x14ac:dyDescent="0.35">
      <c r="AB1846" s="26">
        <v>1843</v>
      </c>
      <c r="AC1846" s="45">
        <v>33078.75</v>
      </c>
    </row>
    <row r="1847" spans="28:29" x14ac:dyDescent="0.35">
      <c r="AB1847" s="44">
        <v>1844</v>
      </c>
      <c r="AC1847" s="45">
        <v>33099</v>
      </c>
    </row>
    <row r="1848" spans="28:29" x14ac:dyDescent="0.35">
      <c r="AB1848" s="26">
        <v>1845</v>
      </c>
      <c r="AC1848" s="45">
        <v>33119</v>
      </c>
    </row>
    <row r="1849" spans="28:29" x14ac:dyDescent="0.35">
      <c r="AB1849" s="44">
        <v>1846</v>
      </c>
      <c r="AC1849" s="45">
        <v>33139</v>
      </c>
    </row>
    <row r="1850" spans="28:29" x14ac:dyDescent="0.35">
      <c r="AB1850" s="26">
        <v>1847</v>
      </c>
      <c r="AC1850" s="45">
        <v>33159</v>
      </c>
    </row>
    <row r="1851" spans="28:29" x14ac:dyDescent="0.35">
      <c r="AB1851" s="26">
        <v>1848</v>
      </c>
      <c r="AC1851" s="45">
        <v>33179</v>
      </c>
    </row>
    <row r="1852" spans="28:29" x14ac:dyDescent="0.35">
      <c r="AB1852" s="44">
        <v>1849</v>
      </c>
      <c r="AC1852" s="45">
        <v>33199.25</v>
      </c>
    </row>
    <row r="1853" spans="28:29" x14ac:dyDescent="0.35">
      <c r="AB1853" s="26">
        <v>1850</v>
      </c>
      <c r="AC1853" s="45">
        <v>33219.5</v>
      </c>
    </row>
    <row r="1854" spans="28:29" x14ac:dyDescent="0.35">
      <c r="AB1854" s="44">
        <v>1851</v>
      </c>
      <c r="AC1854" s="45">
        <v>33239.75</v>
      </c>
    </row>
    <row r="1855" spans="28:29" x14ac:dyDescent="0.35">
      <c r="AB1855" s="26">
        <v>1852</v>
      </c>
      <c r="AC1855" s="45">
        <v>33260</v>
      </c>
    </row>
    <row r="1856" spans="28:29" x14ac:dyDescent="0.35">
      <c r="AB1856" s="44">
        <v>1853</v>
      </c>
      <c r="AC1856" s="45">
        <v>33280</v>
      </c>
    </row>
    <row r="1857" spans="28:29" x14ac:dyDescent="0.35">
      <c r="AB1857" s="26">
        <v>1854</v>
      </c>
      <c r="AC1857" s="45">
        <v>33300</v>
      </c>
    </row>
    <row r="1858" spans="28:29" x14ac:dyDescent="0.35">
      <c r="AB1858" s="26">
        <v>1855</v>
      </c>
      <c r="AC1858" s="45">
        <v>33320</v>
      </c>
    </row>
    <row r="1859" spans="28:29" x14ac:dyDescent="0.35">
      <c r="AB1859" s="44">
        <v>1856</v>
      </c>
      <c r="AC1859" s="45">
        <v>33340</v>
      </c>
    </row>
    <row r="1860" spans="28:29" x14ac:dyDescent="0.35">
      <c r="AB1860" s="26">
        <v>1857</v>
      </c>
      <c r="AC1860" s="45">
        <v>33360</v>
      </c>
    </row>
    <row r="1861" spans="28:29" x14ac:dyDescent="0.35">
      <c r="AB1861" s="44">
        <v>1858</v>
      </c>
      <c r="AC1861" s="45">
        <v>33380</v>
      </c>
    </row>
    <row r="1862" spans="28:29" x14ac:dyDescent="0.35">
      <c r="AB1862" s="26">
        <v>1859</v>
      </c>
      <c r="AC1862" s="45">
        <v>33400</v>
      </c>
    </row>
    <row r="1863" spans="28:29" x14ac:dyDescent="0.35">
      <c r="AB1863" s="44">
        <v>1860</v>
      </c>
      <c r="AC1863" s="45">
        <v>33420</v>
      </c>
    </row>
    <row r="1864" spans="28:29" x14ac:dyDescent="0.35">
      <c r="AB1864" s="26">
        <v>1861</v>
      </c>
      <c r="AC1864" s="45">
        <v>33440</v>
      </c>
    </row>
    <row r="1865" spans="28:29" x14ac:dyDescent="0.35">
      <c r="AB1865" s="26">
        <v>1862</v>
      </c>
      <c r="AC1865" s="45">
        <v>33460</v>
      </c>
    </row>
    <row r="1866" spans="28:29" x14ac:dyDescent="0.35">
      <c r="AB1866" s="44">
        <v>1863</v>
      </c>
      <c r="AC1866" s="45">
        <v>33480</v>
      </c>
    </row>
    <row r="1867" spans="28:29" x14ac:dyDescent="0.35">
      <c r="AB1867" s="26">
        <v>1864</v>
      </c>
      <c r="AC1867" s="45">
        <v>33500</v>
      </c>
    </row>
    <row r="1868" spans="28:29" x14ac:dyDescent="0.35">
      <c r="AB1868" s="44">
        <v>1865</v>
      </c>
      <c r="AC1868" s="45">
        <v>33520</v>
      </c>
    </row>
    <row r="1869" spans="28:29" x14ac:dyDescent="0.35">
      <c r="AB1869" s="26">
        <v>1866</v>
      </c>
      <c r="AC1869" s="45">
        <v>33540</v>
      </c>
    </row>
    <row r="1870" spans="28:29" x14ac:dyDescent="0.35">
      <c r="AB1870" s="44">
        <v>1867</v>
      </c>
      <c r="AC1870" s="45">
        <v>33560</v>
      </c>
    </row>
    <row r="1871" spans="28:29" x14ac:dyDescent="0.35">
      <c r="AB1871" s="26">
        <v>1868</v>
      </c>
      <c r="AC1871" s="45">
        <v>33580</v>
      </c>
    </row>
    <row r="1872" spans="28:29" x14ac:dyDescent="0.35">
      <c r="AB1872" s="26">
        <v>1869</v>
      </c>
      <c r="AC1872" s="45">
        <v>33600</v>
      </c>
    </row>
    <row r="1873" spans="28:29" x14ac:dyDescent="0.35">
      <c r="AB1873" s="44">
        <v>1870</v>
      </c>
      <c r="AC1873" s="45">
        <v>33620</v>
      </c>
    </row>
    <row r="1874" spans="28:29" x14ac:dyDescent="0.35">
      <c r="AB1874" s="26">
        <v>1871</v>
      </c>
      <c r="AC1874" s="45">
        <v>33640</v>
      </c>
    </row>
    <row r="1875" spans="28:29" x14ac:dyDescent="0.35">
      <c r="AB1875" s="44">
        <v>1872</v>
      </c>
      <c r="AC1875" s="45">
        <v>33660</v>
      </c>
    </row>
    <row r="1876" spans="28:29" x14ac:dyDescent="0.35">
      <c r="AB1876" s="26">
        <v>1873</v>
      </c>
      <c r="AC1876" s="45">
        <v>33679.75</v>
      </c>
    </row>
    <row r="1877" spans="28:29" x14ac:dyDescent="0.35">
      <c r="AB1877" s="44">
        <v>1874</v>
      </c>
      <c r="AC1877" s="45">
        <v>33699.5</v>
      </c>
    </row>
    <row r="1878" spans="28:29" x14ac:dyDescent="0.35">
      <c r="AB1878" s="26">
        <v>1875</v>
      </c>
      <c r="AC1878" s="45">
        <v>33719.25</v>
      </c>
    </row>
    <row r="1879" spans="28:29" x14ac:dyDescent="0.35">
      <c r="AB1879" s="26">
        <v>1876</v>
      </c>
      <c r="AC1879" s="45">
        <v>33739</v>
      </c>
    </row>
    <row r="1880" spans="28:29" x14ac:dyDescent="0.35">
      <c r="AB1880" s="44">
        <v>1877</v>
      </c>
      <c r="AC1880" s="45">
        <v>33759</v>
      </c>
    </row>
    <row r="1881" spans="28:29" x14ac:dyDescent="0.35">
      <c r="AB1881" s="26">
        <v>1878</v>
      </c>
      <c r="AC1881" s="45">
        <v>33779</v>
      </c>
    </row>
    <row r="1882" spans="28:29" x14ac:dyDescent="0.35">
      <c r="AB1882" s="44">
        <v>1879</v>
      </c>
      <c r="AC1882" s="45">
        <v>33799</v>
      </c>
    </row>
    <row r="1883" spans="28:29" x14ac:dyDescent="0.35">
      <c r="AB1883" s="26">
        <v>1880</v>
      </c>
      <c r="AC1883" s="45">
        <v>33819</v>
      </c>
    </row>
    <row r="1884" spans="28:29" x14ac:dyDescent="0.35">
      <c r="AB1884" s="44">
        <v>1881</v>
      </c>
      <c r="AC1884" s="45">
        <v>33838.75</v>
      </c>
    </row>
    <row r="1885" spans="28:29" x14ac:dyDescent="0.35">
      <c r="AB1885" s="26">
        <v>1882</v>
      </c>
      <c r="AC1885" s="45">
        <v>33858.5</v>
      </c>
    </row>
    <row r="1886" spans="28:29" x14ac:dyDescent="0.35">
      <c r="AB1886" s="26">
        <v>1883</v>
      </c>
      <c r="AC1886" s="45">
        <v>33878.25</v>
      </c>
    </row>
    <row r="1887" spans="28:29" x14ac:dyDescent="0.35">
      <c r="AB1887" s="44">
        <v>1884</v>
      </c>
      <c r="AC1887" s="45">
        <v>33898</v>
      </c>
    </row>
    <row r="1888" spans="28:29" x14ac:dyDescent="0.35">
      <c r="AB1888" s="26">
        <v>1885</v>
      </c>
      <c r="AC1888" s="45">
        <v>33918</v>
      </c>
    </row>
    <row r="1889" spans="28:29" x14ac:dyDescent="0.35">
      <c r="AB1889" s="44">
        <v>1886</v>
      </c>
      <c r="AC1889" s="45">
        <v>33938</v>
      </c>
    </row>
    <row r="1890" spans="28:29" x14ac:dyDescent="0.35">
      <c r="AB1890" s="26">
        <v>1887</v>
      </c>
      <c r="AC1890" s="45">
        <v>33958</v>
      </c>
    </row>
    <row r="1891" spans="28:29" x14ac:dyDescent="0.35">
      <c r="AB1891" s="44">
        <v>1888</v>
      </c>
      <c r="AC1891" s="45">
        <v>33978</v>
      </c>
    </row>
    <row r="1892" spans="28:29" x14ac:dyDescent="0.35">
      <c r="AB1892" s="26">
        <v>1889</v>
      </c>
      <c r="AC1892" s="45">
        <v>33997.75</v>
      </c>
    </row>
    <row r="1893" spans="28:29" x14ac:dyDescent="0.35">
      <c r="AB1893" s="26">
        <v>1890</v>
      </c>
      <c r="AC1893" s="45">
        <v>34017.5</v>
      </c>
    </row>
    <row r="1894" spans="28:29" x14ac:dyDescent="0.35">
      <c r="AB1894" s="44">
        <v>1891</v>
      </c>
      <c r="AC1894" s="45">
        <v>34037.25</v>
      </c>
    </row>
    <row r="1895" spans="28:29" x14ac:dyDescent="0.35">
      <c r="AB1895" s="26">
        <v>1892</v>
      </c>
      <c r="AC1895" s="45">
        <v>34057</v>
      </c>
    </row>
    <row r="1896" spans="28:29" x14ac:dyDescent="0.35">
      <c r="AB1896" s="44">
        <v>1893</v>
      </c>
      <c r="AC1896" s="45">
        <v>34076.75</v>
      </c>
    </row>
    <row r="1897" spans="28:29" x14ac:dyDescent="0.35">
      <c r="AB1897" s="26">
        <v>1894</v>
      </c>
      <c r="AC1897" s="45">
        <v>34096.5</v>
      </c>
    </row>
    <row r="1898" spans="28:29" x14ac:dyDescent="0.35">
      <c r="AB1898" s="44">
        <v>1895</v>
      </c>
      <c r="AC1898" s="45">
        <v>34116.25</v>
      </c>
    </row>
    <row r="1899" spans="28:29" x14ac:dyDescent="0.35">
      <c r="AB1899" s="26">
        <v>1896</v>
      </c>
      <c r="AC1899" s="45">
        <v>34136</v>
      </c>
    </row>
    <row r="1900" spans="28:29" x14ac:dyDescent="0.35">
      <c r="AB1900" s="26">
        <v>1897</v>
      </c>
      <c r="AC1900" s="45">
        <v>34155.75</v>
      </c>
    </row>
    <row r="1901" spans="28:29" x14ac:dyDescent="0.35">
      <c r="AB1901" s="44">
        <v>1898</v>
      </c>
      <c r="AC1901" s="45">
        <v>34175.5</v>
      </c>
    </row>
    <row r="1902" spans="28:29" x14ac:dyDescent="0.35">
      <c r="AB1902" s="26">
        <v>1899</v>
      </c>
      <c r="AC1902" s="45">
        <v>34195.25</v>
      </c>
    </row>
    <row r="1903" spans="28:29" x14ac:dyDescent="0.35">
      <c r="AB1903" s="44">
        <v>1900</v>
      </c>
      <c r="AC1903" s="45">
        <v>34215</v>
      </c>
    </row>
    <row r="1904" spans="28:29" x14ac:dyDescent="0.35">
      <c r="AB1904" s="26">
        <v>1901</v>
      </c>
      <c r="AC1904" s="45">
        <v>34234.75</v>
      </c>
    </row>
    <row r="1905" spans="28:29" x14ac:dyDescent="0.35">
      <c r="AB1905" s="44">
        <v>1902</v>
      </c>
      <c r="AC1905" s="45">
        <v>34254.5</v>
      </c>
    </row>
    <row r="1906" spans="28:29" x14ac:dyDescent="0.35">
      <c r="AB1906" s="26">
        <v>1903</v>
      </c>
      <c r="AC1906" s="45">
        <v>34274.25</v>
      </c>
    </row>
    <row r="1907" spans="28:29" x14ac:dyDescent="0.35">
      <c r="AB1907" s="26">
        <v>1904</v>
      </c>
      <c r="AC1907" s="45">
        <v>34294</v>
      </c>
    </row>
    <row r="1908" spans="28:29" x14ac:dyDescent="0.35">
      <c r="AB1908" s="44">
        <v>1905</v>
      </c>
      <c r="AC1908" s="45">
        <v>34313.75</v>
      </c>
    </row>
    <row r="1909" spans="28:29" x14ac:dyDescent="0.35">
      <c r="AB1909" s="26">
        <v>1906</v>
      </c>
      <c r="AC1909" s="45">
        <v>34333.5</v>
      </c>
    </row>
    <row r="1910" spans="28:29" x14ac:dyDescent="0.35">
      <c r="AB1910" s="44">
        <v>1907</v>
      </c>
      <c r="AC1910" s="45">
        <v>34353.25</v>
      </c>
    </row>
    <row r="1911" spans="28:29" x14ac:dyDescent="0.35">
      <c r="AB1911" s="26">
        <v>1908</v>
      </c>
      <c r="AC1911" s="45">
        <v>34373</v>
      </c>
    </row>
    <row r="1912" spans="28:29" x14ac:dyDescent="0.35">
      <c r="AB1912" s="44">
        <v>1909</v>
      </c>
      <c r="AC1912" s="45">
        <v>34392.75</v>
      </c>
    </row>
    <row r="1913" spans="28:29" x14ac:dyDescent="0.35">
      <c r="AB1913" s="26">
        <v>1910</v>
      </c>
      <c r="AC1913" s="45">
        <v>34412.5</v>
      </c>
    </row>
    <row r="1914" spans="28:29" x14ac:dyDescent="0.35">
      <c r="AB1914" s="26">
        <v>1911</v>
      </c>
      <c r="AC1914" s="45">
        <v>34432.25</v>
      </c>
    </row>
    <row r="1915" spans="28:29" x14ac:dyDescent="0.35">
      <c r="AB1915" s="44">
        <v>1912</v>
      </c>
      <c r="AC1915" s="45">
        <v>34452</v>
      </c>
    </row>
    <row r="1916" spans="28:29" x14ac:dyDescent="0.35">
      <c r="AB1916" s="26">
        <v>1913</v>
      </c>
      <c r="AC1916" s="45">
        <v>34471.75</v>
      </c>
    </row>
    <row r="1917" spans="28:29" x14ac:dyDescent="0.35">
      <c r="AB1917" s="44">
        <v>1914</v>
      </c>
      <c r="AC1917" s="45">
        <v>34491.5</v>
      </c>
    </row>
    <row r="1918" spans="28:29" x14ac:dyDescent="0.35">
      <c r="AB1918" s="26">
        <v>1915</v>
      </c>
      <c r="AC1918" s="45">
        <v>34511.25</v>
      </c>
    </row>
    <row r="1919" spans="28:29" x14ac:dyDescent="0.35">
      <c r="AB1919" s="44">
        <v>1916</v>
      </c>
      <c r="AC1919" s="45">
        <v>34531</v>
      </c>
    </row>
    <row r="1920" spans="28:29" x14ac:dyDescent="0.35">
      <c r="AB1920" s="26">
        <v>1917</v>
      </c>
      <c r="AC1920" s="45">
        <v>34550.5</v>
      </c>
    </row>
    <row r="1921" spans="28:29" x14ac:dyDescent="0.35">
      <c r="AB1921" s="26">
        <v>1918</v>
      </c>
      <c r="AC1921" s="45">
        <v>34570</v>
      </c>
    </row>
    <row r="1922" spans="28:29" x14ac:dyDescent="0.35">
      <c r="AB1922" s="44">
        <v>1919</v>
      </c>
      <c r="AC1922" s="45">
        <v>34589.5</v>
      </c>
    </row>
    <row r="1923" spans="28:29" x14ac:dyDescent="0.35">
      <c r="AB1923" s="26">
        <v>1920</v>
      </c>
      <c r="AC1923" s="45">
        <v>34609</v>
      </c>
    </row>
    <row r="1924" spans="28:29" x14ac:dyDescent="0.35">
      <c r="AB1924" s="44">
        <v>1921</v>
      </c>
      <c r="AC1924" s="45">
        <v>34628.5</v>
      </c>
    </row>
    <row r="1925" spans="28:29" x14ac:dyDescent="0.35">
      <c r="AB1925" s="26">
        <v>1922</v>
      </c>
      <c r="AC1925" s="45">
        <v>34648</v>
      </c>
    </row>
    <row r="1926" spans="28:29" x14ac:dyDescent="0.35">
      <c r="AB1926" s="44">
        <v>1923</v>
      </c>
      <c r="AC1926" s="45">
        <v>34667.5</v>
      </c>
    </row>
    <row r="1927" spans="28:29" x14ac:dyDescent="0.35">
      <c r="AB1927" s="26">
        <v>1924</v>
      </c>
      <c r="AC1927" s="45">
        <v>34687</v>
      </c>
    </row>
    <row r="1928" spans="28:29" x14ac:dyDescent="0.35">
      <c r="AB1928" s="26">
        <v>1925</v>
      </c>
      <c r="AC1928" s="45">
        <v>34706.75</v>
      </c>
    </row>
    <row r="1929" spans="28:29" x14ac:dyDescent="0.35">
      <c r="AB1929" s="44">
        <v>1926</v>
      </c>
      <c r="AC1929" s="45">
        <v>34726.5</v>
      </c>
    </row>
    <row r="1930" spans="28:29" x14ac:dyDescent="0.35">
      <c r="AB1930" s="26">
        <v>1927</v>
      </c>
      <c r="AC1930" s="45">
        <v>34746.25</v>
      </c>
    </row>
    <row r="1931" spans="28:29" x14ac:dyDescent="0.35">
      <c r="AB1931" s="44">
        <v>1928</v>
      </c>
      <c r="AC1931" s="45">
        <v>34766</v>
      </c>
    </row>
    <row r="1932" spans="28:29" x14ac:dyDescent="0.35">
      <c r="AB1932" s="26">
        <v>1929</v>
      </c>
      <c r="AC1932" s="45">
        <v>34785.5</v>
      </c>
    </row>
    <row r="1933" spans="28:29" x14ac:dyDescent="0.35">
      <c r="AB1933" s="44">
        <v>1930</v>
      </c>
      <c r="AC1933" s="45">
        <v>34805</v>
      </c>
    </row>
    <row r="1934" spans="28:29" x14ac:dyDescent="0.35">
      <c r="AB1934" s="26">
        <v>1931</v>
      </c>
      <c r="AC1934" s="45">
        <v>34824.5</v>
      </c>
    </row>
    <row r="1935" spans="28:29" x14ac:dyDescent="0.35">
      <c r="AB1935" s="26">
        <v>1932</v>
      </c>
      <c r="AC1935" s="45">
        <v>34844</v>
      </c>
    </row>
    <row r="1936" spans="28:29" x14ac:dyDescent="0.35">
      <c r="AB1936" s="44">
        <v>1933</v>
      </c>
      <c r="AC1936" s="45">
        <v>34863.5</v>
      </c>
    </row>
    <row r="1937" spans="28:29" x14ac:dyDescent="0.35">
      <c r="AB1937" s="26">
        <v>1934</v>
      </c>
      <c r="AC1937" s="45">
        <v>34883</v>
      </c>
    </row>
    <row r="1938" spans="28:29" x14ac:dyDescent="0.35">
      <c r="AB1938" s="44">
        <v>1935</v>
      </c>
      <c r="AC1938" s="45">
        <v>34902.5</v>
      </c>
    </row>
    <row r="1939" spans="28:29" x14ac:dyDescent="0.35">
      <c r="AB1939" s="26">
        <v>1936</v>
      </c>
      <c r="AC1939" s="45">
        <v>34922</v>
      </c>
    </row>
    <row r="1940" spans="28:29" x14ac:dyDescent="0.35">
      <c r="AB1940" s="44">
        <v>1937</v>
      </c>
      <c r="AC1940" s="45">
        <v>34941.5</v>
      </c>
    </row>
    <row r="1941" spans="28:29" x14ac:dyDescent="0.35">
      <c r="AB1941" s="26">
        <v>1938</v>
      </c>
      <c r="AC1941" s="45">
        <v>34961</v>
      </c>
    </row>
    <row r="1942" spans="28:29" x14ac:dyDescent="0.35">
      <c r="AB1942" s="26">
        <v>1939</v>
      </c>
      <c r="AC1942" s="45">
        <v>34980.5</v>
      </c>
    </row>
    <row r="1943" spans="28:29" x14ac:dyDescent="0.35">
      <c r="AB1943" s="44">
        <v>1940</v>
      </c>
      <c r="AC1943" s="45">
        <v>35000</v>
      </c>
    </row>
    <row r="1944" spans="28:29" x14ac:dyDescent="0.35">
      <c r="AB1944" s="26">
        <v>1941</v>
      </c>
      <c r="AC1944" s="45">
        <v>35019.5</v>
      </c>
    </row>
    <row r="1945" spans="28:29" x14ac:dyDescent="0.35">
      <c r="AB1945" s="44">
        <v>1942</v>
      </c>
      <c r="AC1945" s="45">
        <v>35039</v>
      </c>
    </row>
    <row r="1946" spans="28:29" x14ac:dyDescent="0.35">
      <c r="AB1946" s="26">
        <v>1943</v>
      </c>
      <c r="AC1946" s="45">
        <v>35058.5</v>
      </c>
    </row>
    <row r="1947" spans="28:29" x14ac:dyDescent="0.35">
      <c r="AB1947" s="44">
        <v>1944</v>
      </c>
      <c r="AC1947" s="45">
        <v>35078</v>
      </c>
    </row>
    <row r="1948" spans="28:29" x14ac:dyDescent="0.35">
      <c r="AB1948" s="26">
        <v>1945</v>
      </c>
      <c r="AC1948" s="45">
        <v>35097.25</v>
      </c>
    </row>
    <row r="1949" spans="28:29" x14ac:dyDescent="0.35">
      <c r="AB1949" s="26">
        <v>1946</v>
      </c>
      <c r="AC1949" s="45">
        <v>35116.5</v>
      </c>
    </row>
    <row r="1950" spans="28:29" x14ac:dyDescent="0.35">
      <c r="AB1950" s="44">
        <v>1947</v>
      </c>
      <c r="AC1950" s="45">
        <v>35135.75</v>
      </c>
    </row>
    <row r="1951" spans="28:29" x14ac:dyDescent="0.35">
      <c r="AB1951" s="26">
        <v>1948</v>
      </c>
      <c r="AC1951" s="45">
        <v>35155</v>
      </c>
    </row>
    <row r="1952" spans="28:29" x14ac:dyDescent="0.35">
      <c r="AB1952" s="44">
        <v>1949</v>
      </c>
      <c r="AC1952" s="45">
        <v>35174.5</v>
      </c>
    </row>
    <row r="1953" spans="28:29" x14ac:dyDescent="0.35">
      <c r="AB1953" s="26">
        <v>1950</v>
      </c>
      <c r="AC1953" s="45">
        <v>35194</v>
      </c>
    </row>
    <row r="1954" spans="28:29" x14ac:dyDescent="0.35">
      <c r="AB1954" s="44">
        <v>1951</v>
      </c>
      <c r="AC1954" s="45">
        <v>35213.5</v>
      </c>
    </row>
    <row r="1955" spans="28:29" x14ac:dyDescent="0.35">
      <c r="AB1955" s="26">
        <v>1952</v>
      </c>
      <c r="AC1955" s="45">
        <v>35233</v>
      </c>
    </row>
    <row r="1956" spans="28:29" x14ac:dyDescent="0.35">
      <c r="AB1956" s="26">
        <v>1953</v>
      </c>
      <c r="AC1956" s="45">
        <v>35252.5</v>
      </c>
    </row>
    <row r="1957" spans="28:29" x14ac:dyDescent="0.35">
      <c r="AB1957" s="44">
        <v>1954</v>
      </c>
      <c r="AC1957" s="45">
        <v>35272</v>
      </c>
    </row>
    <row r="1958" spans="28:29" x14ac:dyDescent="0.35">
      <c r="AB1958" s="26">
        <v>1955</v>
      </c>
      <c r="AC1958" s="45">
        <v>35291.5</v>
      </c>
    </row>
    <row r="1959" spans="28:29" x14ac:dyDescent="0.35">
      <c r="AB1959" s="44">
        <v>1956</v>
      </c>
      <c r="AC1959" s="45">
        <v>35311</v>
      </c>
    </row>
    <row r="1960" spans="28:29" x14ac:dyDescent="0.35">
      <c r="AB1960" s="26">
        <v>1957</v>
      </c>
      <c r="AC1960" s="45">
        <v>35330.25</v>
      </c>
    </row>
    <row r="1961" spans="28:29" x14ac:dyDescent="0.35">
      <c r="AB1961" s="44">
        <v>1958</v>
      </c>
      <c r="AC1961" s="45">
        <v>35349.5</v>
      </c>
    </row>
    <row r="1962" spans="28:29" x14ac:dyDescent="0.35">
      <c r="AB1962" s="26">
        <v>1959</v>
      </c>
      <c r="AC1962" s="45">
        <v>35368.75</v>
      </c>
    </row>
    <row r="1963" spans="28:29" x14ac:dyDescent="0.35">
      <c r="AB1963" s="26">
        <v>1960</v>
      </c>
      <c r="AC1963" s="45">
        <v>35388</v>
      </c>
    </row>
    <row r="1964" spans="28:29" x14ac:dyDescent="0.35">
      <c r="AB1964" s="44">
        <v>1961</v>
      </c>
      <c r="AC1964" s="45">
        <v>35407.25</v>
      </c>
    </row>
    <row r="1965" spans="28:29" x14ac:dyDescent="0.35">
      <c r="AB1965" s="26">
        <v>1962</v>
      </c>
      <c r="AC1965" s="45">
        <v>35426.5</v>
      </c>
    </row>
    <row r="1966" spans="28:29" x14ac:dyDescent="0.35">
      <c r="AB1966" s="44">
        <v>1963</v>
      </c>
      <c r="AC1966" s="45">
        <v>35445.75</v>
      </c>
    </row>
    <row r="1967" spans="28:29" x14ac:dyDescent="0.35">
      <c r="AB1967" s="26">
        <v>1964</v>
      </c>
      <c r="AC1967" s="45">
        <v>35465</v>
      </c>
    </row>
    <row r="1968" spans="28:29" x14ac:dyDescent="0.35">
      <c r="AB1968" s="44">
        <v>1965</v>
      </c>
      <c r="AC1968" s="45">
        <v>35484.25</v>
      </c>
    </row>
    <row r="1969" spans="28:29" x14ac:dyDescent="0.35">
      <c r="AB1969" s="26">
        <v>1966</v>
      </c>
      <c r="AC1969" s="45">
        <v>35503.5</v>
      </c>
    </row>
    <row r="1970" spans="28:29" x14ac:dyDescent="0.35">
      <c r="AB1970" s="26">
        <v>1967</v>
      </c>
      <c r="AC1970" s="45">
        <v>35522.75</v>
      </c>
    </row>
    <row r="1971" spans="28:29" x14ac:dyDescent="0.35">
      <c r="AB1971" s="44">
        <v>1968</v>
      </c>
      <c r="AC1971" s="45">
        <v>35542</v>
      </c>
    </row>
    <row r="1972" spans="28:29" x14ac:dyDescent="0.35">
      <c r="AB1972" s="26">
        <v>1969</v>
      </c>
      <c r="AC1972" s="45">
        <v>35561.25</v>
      </c>
    </row>
    <row r="1973" spans="28:29" x14ac:dyDescent="0.35">
      <c r="AB1973" s="44">
        <v>1970</v>
      </c>
      <c r="AC1973" s="45">
        <v>35580.5</v>
      </c>
    </row>
    <row r="1974" spans="28:29" x14ac:dyDescent="0.35">
      <c r="AB1974" s="26">
        <v>1971</v>
      </c>
      <c r="AC1974" s="45">
        <v>35599.75</v>
      </c>
    </row>
    <row r="1975" spans="28:29" x14ac:dyDescent="0.35">
      <c r="AB1975" s="44">
        <v>1972</v>
      </c>
      <c r="AC1975" s="45">
        <v>35619</v>
      </c>
    </row>
    <row r="1976" spans="28:29" x14ac:dyDescent="0.35">
      <c r="AB1976" s="26">
        <v>1973</v>
      </c>
      <c r="AC1976" s="45">
        <v>35638.25</v>
      </c>
    </row>
    <row r="1977" spans="28:29" x14ac:dyDescent="0.35">
      <c r="AB1977" s="26">
        <v>1974</v>
      </c>
      <c r="AC1977" s="45">
        <v>35657.5</v>
      </c>
    </row>
    <row r="1978" spans="28:29" x14ac:dyDescent="0.35">
      <c r="AB1978" s="44">
        <v>1975</v>
      </c>
      <c r="AC1978" s="45">
        <v>35676.75</v>
      </c>
    </row>
    <row r="1979" spans="28:29" x14ac:dyDescent="0.35">
      <c r="AB1979" s="26">
        <v>1976</v>
      </c>
      <c r="AC1979" s="45">
        <v>35696</v>
      </c>
    </row>
    <row r="1980" spans="28:29" x14ac:dyDescent="0.35">
      <c r="AB1980" s="44">
        <v>1977</v>
      </c>
      <c r="AC1980" s="45">
        <v>35715.25</v>
      </c>
    </row>
    <row r="1981" spans="28:29" x14ac:dyDescent="0.35">
      <c r="AB1981" s="26">
        <v>1978</v>
      </c>
      <c r="AC1981" s="45">
        <v>35734.5</v>
      </c>
    </row>
    <row r="1982" spans="28:29" x14ac:dyDescent="0.35">
      <c r="AB1982" s="44">
        <v>1979</v>
      </c>
      <c r="AC1982" s="45">
        <v>35753.75</v>
      </c>
    </row>
    <row r="1983" spans="28:29" x14ac:dyDescent="0.35">
      <c r="AB1983" s="26">
        <v>1980</v>
      </c>
      <c r="AC1983" s="45">
        <v>35773</v>
      </c>
    </row>
    <row r="1984" spans="28:29" x14ac:dyDescent="0.35">
      <c r="AB1984" s="26">
        <v>1981</v>
      </c>
      <c r="AC1984" s="45">
        <v>35792</v>
      </c>
    </row>
    <row r="1985" spans="28:29" x14ac:dyDescent="0.35">
      <c r="AB1985" s="44">
        <v>1982</v>
      </c>
      <c r="AC1985" s="45">
        <v>35811</v>
      </c>
    </row>
    <row r="1986" spans="28:29" x14ac:dyDescent="0.35">
      <c r="AB1986" s="26">
        <v>1983</v>
      </c>
      <c r="AC1986" s="45">
        <v>35830</v>
      </c>
    </row>
    <row r="1987" spans="28:29" x14ac:dyDescent="0.35">
      <c r="AB1987" s="44">
        <v>1984</v>
      </c>
      <c r="AC1987" s="45">
        <v>35849</v>
      </c>
    </row>
    <row r="1988" spans="28:29" x14ac:dyDescent="0.35">
      <c r="AB1988" s="26">
        <v>1985</v>
      </c>
      <c r="AC1988" s="45">
        <v>35868.25</v>
      </c>
    </row>
    <row r="1989" spans="28:29" x14ac:dyDescent="0.35">
      <c r="AB1989" s="44">
        <v>1986</v>
      </c>
      <c r="AC1989" s="45">
        <v>35887.5</v>
      </c>
    </row>
    <row r="1990" spans="28:29" x14ac:dyDescent="0.35">
      <c r="AB1990" s="26">
        <v>1987</v>
      </c>
      <c r="AC1990" s="45">
        <v>35906.75</v>
      </c>
    </row>
    <row r="1991" spans="28:29" x14ac:dyDescent="0.35">
      <c r="AB1991" s="26">
        <v>1988</v>
      </c>
      <c r="AC1991" s="45">
        <v>35926</v>
      </c>
    </row>
    <row r="1992" spans="28:29" x14ac:dyDescent="0.35">
      <c r="AB1992" s="44">
        <v>1989</v>
      </c>
      <c r="AC1992" s="45">
        <v>35945</v>
      </c>
    </row>
    <row r="1993" spans="28:29" x14ac:dyDescent="0.35">
      <c r="AB1993" s="26">
        <v>1990</v>
      </c>
      <c r="AC1993" s="45">
        <v>35964</v>
      </c>
    </row>
    <row r="1994" spans="28:29" x14ac:dyDescent="0.35">
      <c r="AB1994" s="44">
        <v>1991</v>
      </c>
      <c r="AC1994" s="45">
        <v>35983</v>
      </c>
    </row>
    <row r="1995" spans="28:29" x14ac:dyDescent="0.35">
      <c r="AB1995" s="26">
        <v>1992</v>
      </c>
      <c r="AC1995" s="45">
        <v>36002</v>
      </c>
    </row>
    <row r="1996" spans="28:29" x14ac:dyDescent="0.35">
      <c r="AB1996" s="44">
        <v>1993</v>
      </c>
      <c r="AC1996" s="45">
        <v>36021</v>
      </c>
    </row>
    <row r="1997" spans="28:29" x14ac:dyDescent="0.35">
      <c r="AB1997" s="26">
        <v>1994</v>
      </c>
      <c r="AC1997" s="45">
        <v>36040</v>
      </c>
    </row>
    <row r="1998" spans="28:29" x14ac:dyDescent="0.35">
      <c r="AB1998" s="26">
        <v>1995</v>
      </c>
      <c r="AC1998" s="45">
        <v>36059</v>
      </c>
    </row>
    <row r="1999" spans="28:29" x14ac:dyDescent="0.35">
      <c r="AB1999" s="44">
        <v>1996</v>
      </c>
      <c r="AC1999" s="45">
        <v>36078</v>
      </c>
    </row>
    <row r="2000" spans="28:29" x14ac:dyDescent="0.35">
      <c r="AB2000" s="26">
        <v>1997</v>
      </c>
      <c r="AC2000" s="45">
        <v>36097</v>
      </c>
    </row>
    <row r="2001" spans="28:29" x14ac:dyDescent="0.35">
      <c r="AB2001" s="44">
        <v>1998</v>
      </c>
      <c r="AC2001" s="45">
        <v>36116</v>
      </c>
    </row>
    <row r="2002" spans="28:29" x14ac:dyDescent="0.35">
      <c r="AB2002" s="26">
        <v>1999</v>
      </c>
      <c r="AC2002" s="45">
        <v>36135</v>
      </c>
    </row>
    <row r="2003" spans="28:29" x14ac:dyDescent="0.35">
      <c r="AB2003" s="44">
        <v>2000</v>
      </c>
      <c r="AC2003" s="45">
        <v>36154</v>
      </c>
    </row>
    <row r="2004" spans="28:29" x14ac:dyDescent="0.35">
      <c r="AB2004" s="26">
        <v>2001</v>
      </c>
      <c r="AC2004" s="45">
        <v>36173</v>
      </c>
    </row>
    <row r="2005" spans="28:29" x14ac:dyDescent="0.35">
      <c r="AB2005" s="26">
        <v>2002</v>
      </c>
      <c r="AC2005" s="45">
        <v>36192</v>
      </c>
    </row>
    <row r="2006" spans="28:29" x14ac:dyDescent="0.35">
      <c r="AB2006" s="44">
        <v>2003</v>
      </c>
      <c r="AC2006" s="45">
        <v>36211</v>
      </c>
    </row>
    <row r="2007" spans="28:29" x14ac:dyDescent="0.35">
      <c r="AB2007" s="26">
        <v>2004</v>
      </c>
      <c r="AC2007" s="45">
        <v>36230</v>
      </c>
    </row>
    <row r="2008" spans="28:29" x14ac:dyDescent="0.35">
      <c r="AB2008" s="44">
        <v>2005</v>
      </c>
      <c r="AC2008" s="45">
        <v>36249</v>
      </c>
    </row>
    <row r="2009" spans="28:29" x14ac:dyDescent="0.35">
      <c r="AB2009" s="26">
        <v>2006</v>
      </c>
      <c r="AC2009" s="45">
        <v>36268</v>
      </c>
    </row>
    <row r="2010" spans="28:29" x14ac:dyDescent="0.35">
      <c r="AB2010" s="44">
        <v>2007</v>
      </c>
      <c r="AC2010" s="45">
        <v>36287</v>
      </c>
    </row>
    <row r="2011" spans="28:29" x14ac:dyDescent="0.35">
      <c r="AB2011" s="26">
        <v>2008</v>
      </c>
      <c r="AC2011" s="45">
        <v>36306</v>
      </c>
    </row>
    <row r="2012" spans="28:29" x14ac:dyDescent="0.35">
      <c r="AB2012" s="26">
        <v>2009</v>
      </c>
      <c r="AC2012" s="45">
        <v>36325</v>
      </c>
    </row>
    <row r="2013" spans="28:29" x14ac:dyDescent="0.35">
      <c r="AB2013" s="44">
        <v>2010</v>
      </c>
      <c r="AC2013" s="45">
        <v>36344</v>
      </c>
    </row>
    <row r="2014" spans="28:29" x14ac:dyDescent="0.35">
      <c r="AB2014" s="26">
        <v>2011</v>
      </c>
      <c r="AC2014" s="45">
        <v>36363</v>
      </c>
    </row>
    <row r="2015" spans="28:29" x14ac:dyDescent="0.35">
      <c r="AB2015" s="44">
        <v>2012</v>
      </c>
      <c r="AC2015" s="45">
        <v>36382</v>
      </c>
    </row>
    <row r="2016" spans="28:29" x14ac:dyDescent="0.35">
      <c r="AB2016" s="26">
        <v>2013</v>
      </c>
      <c r="AC2016" s="45">
        <v>36400.75</v>
      </c>
    </row>
    <row r="2017" spans="28:29" x14ac:dyDescent="0.35">
      <c r="AB2017" s="44">
        <v>2014</v>
      </c>
      <c r="AC2017" s="45">
        <v>36419.5</v>
      </c>
    </row>
    <row r="2018" spans="28:29" x14ac:dyDescent="0.35">
      <c r="AB2018" s="26">
        <v>2015</v>
      </c>
      <c r="AC2018" s="45">
        <v>36438.25</v>
      </c>
    </row>
    <row r="2019" spans="28:29" x14ac:dyDescent="0.35">
      <c r="AB2019" s="26">
        <v>2016</v>
      </c>
      <c r="AC2019" s="45">
        <v>36457</v>
      </c>
    </row>
    <row r="2020" spans="28:29" x14ac:dyDescent="0.35">
      <c r="AB2020" s="44">
        <v>2017</v>
      </c>
      <c r="AC2020" s="45">
        <v>36475.75</v>
      </c>
    </row>
    <row r="2021" spans="28:29" x14ac:dyDescent="0.35">
      <c r="AB2021" s="26">
        <v>2018</v>
      </c>
      <c r="AC2021" s="45">
        <v>36494.5</v>
      </c>
    </row>
    <row r="2022" spans="28:29" x14ac:dyDescent="0.35">
      <c r="AB2022" s="44">
        <v>2019</v>
      </c>
      <c r="AC2022" s="45">
        <v>36513.25</v>
      </c>
    </row>
    <row r="2023" spans="28:29" x14ac:dyDescent="0.35">
      <c r="AB2023" s="26">
        <v>2020</v>
      </c>
      <c r="AC2023" s="45">
        <v>36532</v>
      </c>
    </row>
    <row r="2024" spans="28:29" x14ac:dyDescent="0.35">
      <c r="AB2024" s="44">
        <v>2021</v>
      </c>
      <c r="AC2024" s="45">
        <v>36551</v>
      </c>
    </row>
    <row r="2025" spans="28:29" x14ac:dyDescent="0.35">
      <c r="AB2025" s="26">
        <v>2022</v>
      </c>
      <c r="AC2025" s="45">
        <v>36570</v>
      </c>
    </row>
    <row r="2026" spans="28:29" x14ac:dyDescent="0.35">
      <c r="AB2026" s="26">
        <v>2023</v>
      </c>
      <c r="AC2026" s="45">
        <v>36589</v>
      </c>
    </row>
    <row r="2027" spans="28:29" x14ac:dyDescent="0.35">
      <c r="AB2027" s="44">
        <v>2024</v>
      </c>
      <c r="AC2027" s="45">
        <v>36608</v>
      </c>
    </row>
    <row r="2028" spans="28:29" x14ac:dyDescent="0.35">
      <c r="AB2028" s="26">
        <v>2025</v>
      </c>
      <c r="AC2028" s="45">
        <v>36626.75</v>
      </c>
    </row>
    <row r="2029" spans="28:29" x14ac:dyDescent="0.35">
      <c r="AB2029" s="44">
        <v>2026</v>
      </c>
      <c r="AC2029" s="45">
        <v>36645.5</v>
      </c>
    </row>
    <row r="2030" spans="28:29" x14ac:dyDescent="0.35">
      <c r="AB2030" s="26">
        <v>2027</v>
      </c>
      <c r="AC2030" s="45">
        <v>36664.25</v>
      </c>
    </row>
    <row r="2031" spans="28:29" x14ac:dyDescent="0.35">
      <c r="AB2031" s="44">
        <v>2028</v>
      </c>
      <c r="AC2031" s="45">
        <v>36683</v>
      </c>
    </row>
    <row r="2032" spans="28:29" x14ac:dyDescent="0.35">
      <c r="AB2032" s="26">
        <v>2029</v>
      </c>
      <c r="AC2032" s="45">
        <v>36701.75</v>
      </c>
    </row>
    <row r="2033" spans="28:29" x14ac:dyDescent="0.35">
      <c r="AB2033" s="26">
        <v>2030</v>
      </c>
      <c r="AC2033" s="45">
        <v>36720.5</v>
      </c>
    </row>
    <row r="2034" spans="28:29" x14ac:dyDescent="0.35">
      <c r="AB2034" s="44">
        <v>2031</v>
      </c>
      <c r="AC2034" s="45">
        <v>36739.25</v>
      </c>
    </row>
    <row r="2035" spans="28:29" x14ac:dyDescent="0.35">
      <c r="AB2035" s="26">
        <v>2032</v>
      </c>
      <c r="AC2035" s="45">
        <v>36758</v>
      </c>
    </row>
    <row r="2036" spans="28:29" x14ac:dyDescent="0.35">
      <c r="AB2036" s="44">
        <v>2033</v>
      </c>
      <c r="AC2036" s="45">
        <v>36776.75</v>
      </c>
    </row>
    <row r="2037" spans="28:29" x14ac:dyDescent="0.35">
      <c r="AB2037" s="26">
        <v>2034</v>
      </c>
      <c r="AC2037" s="45">
        <v>36795.5</v>
      </c>
    </row>
    <row r="2038" spans="28:29" x14ac:dyDescent="0.35">
      <c r="AB2038" s="44">
        <v>2035</v>
      </c>
      <c r="AC2038" s="45">
        <v>36814.25</v>
      </c>
    </row>
    <row r="2039" spans="28:29" x14ac:dyDescent="0.35">
      <c r="AB2039" s="26">
        <v>2036</v>
      </c>
      <c r="AC2039" s="45">
        <v>36833</v>
      </c>
    </row>
    <row r="2040" spans="28:29" x14ac:dyDescent="0.35">
      <c r="AB2040" s="26">
        <v>2037</v>
      </c>
      <c r="AC2040" s="45">
        <v>36851.5</v>
      </c>
    </row>
    <row r="2041" spans="28:29" x14ac:dyDescent="0.35">
      <c r="AB2041" s="44">
        <v>2038</v>
      </c>
      <c r="AC2041" s="45">
        <v>36870</v>
      </c>
    </row>
    <row r="2042" spans="28:29" x14ac:dyDescent="0.35">
      <c r="AB2042" s="26">
        <v>2039</v>
      </c>
      <c r="AC2042" s="45">
        <v>36888.5</v>
      </c>
    </row>
    <row r="2043" spans="28:29" x14ac:dyDescent="0.35">
      <c r="AB2043" s="44">
        <v>2040</v>
      </c>
      <c r="AC2043" s="45">
        <v>36907</v>
      </c>
    </row>
    <row r="2044" spans="28:29" x14ac:dyDescent="0.35">
      <c r="AB2044" s="26">
        <v>2041</v>
      </c>
      <c r="AC2044" s="45">
        <v>36925.75</v>
      </c>
    </row>
    <row r="2045" spans="28:29" x14ac:dyDescent="0.35">
      <c r="AB2045" s="44">
        <v>2042</v>
      </c>
      <c r="AC2045" s="45">
        <v>36944.5</v>
      </c>
    </row>
    <row r="2046" spans="28:29" x14ac:dyDescent="0.35">
      <c r="AB2046" s="26">
        <v>2043</v>
      </c>
      <c r="AC2046" s="45">
        <v>36963.25</v>
      </c>
    </row>
    <row r="2047" spans="28:29" x14ac:dyDescent="0.35">
      <c r="AB2047" s="26">
        <v>2044</v>
      </c>
      <c r="AC2047" s="45">
        <v>36982</v>
      </c>
    </row>
    <row r="2048" spans="28:29" x14ac:dyDescent="0.35">
      <c r="AB2048" s="44">
        <v>2045</v>
      </c>
      <c r="AC2048" s="45">
        <v>37000.5</v>
      </c>
    </row>
    <row r="2049" spans="28:29" x14ac:dyDescent="0.35">
      <c r="AB2049" s="26">
        <v>2046</v>
      </c>
      <c r="AC2049" s="45">
        <v>37019</v>
      </c>
    </row>
    <row r="2050" spans="28:29" x14ac:dyDescent="0.35">
      <c r="AB2050" s="44">
        <v>2047</v>
      </c>
      <c r="AC2050" s="45">
        <v>37037.5</v>
      </c>
    </row>
    <row r="2051" spans="28:29" x14ac:dyDescent="0.35">
      <c r="AB2051" s="26">
        <v>2048</v>
      </c>
      <c r="AC2051" s="45">
        <v>37056</v>
      </c>
    </row>
    <row r="2052" spans="28:29" x14ac:dyDescent="0.35">
      <c r="AB2052" s="44">
        <v>2049</v>
      </c>
      <c r="AC2052" s="45">
        <v>37074.5</v>
      </c>
    </row>
    <row r="2053" spans="28:29" x14ac:dyDescent="0.35">
      <c r="AB2053" s="26">
        <v>2050</v>
      </c>
      <c r="AC2053" s="45">
        <v>37093</v>
      </c>
    </row>
    <row r="2054" spans="28:29" x14ac:dyDescent="0.35">
      <c r="AB2054" s="26">
        <v>2051</v>
      </c>
      <c r="AC2054" s="45">
        <v>37111.5</v>
      </c>
    </row>
    <row r="2055" spans="28:29" x14ac:dyDescent="0.35">
      <c r="AB2055" s="44">
        <v>2052</v>
      </c>
      <c r="AC2055" s="45">
        <v>37130</v>
      </c>
    </row>
    <row r="2056" spans="28:29" x14ac:dyDescent="0.35">
      <c r="AB2056" s="26">
        <v>2053</v>
      </c>
      <c r="AC2056" s="45">
        <v>37148.5</v>
      </c>
    </row>
    <row r="2057" spans="28:29" x14ac:dyDescent="0.35">
      <c r="AB2057" s="44">
        <v>2054</v>
      </c>
      <c r="AC2057" s="45">
        <v>37167</v>
      </c>
    </row>
    <row r="2058" spans="28:29" x14ac:dyDescent="0.35">
      <c r="AB2058" s="26">
        <v>2055</v>
      </c>
      <c r="AC2058" s="45">
        <v>37185.5</v>
      </c>
    </row>
    <row r="2059" spans="28:29" x14ac:dyDescent="0.35">
      <c r="AB2059" s="44">
        <v>2056</v>
      </c>
      <c r="AC2059" s="45">
        <v>37204</v>
      </c>
    </row>
    <row r="2060" spans="28:29" x14ac:dyDescent="0.35">
      <c r="AB2060" s="26">
        <v>2057</v>
      </c>
      <c r="AC2060" s="45">
        <v>37222.5</v>
      </c>
    </row>
    <row r="2061" spans="28:29" x14ac:dyDescent="0.35">
      <c r="AB2061" s="26">
        <v>2058</v>
      </c>
      <c r="AC2061" s="45">
        <v>37241</v>
      </c>
    </row>
    <row r="2062" spans="28:29" x14ac:dyDescent="0.35">
      <c r="AB2062" s="44">
        <v>2059</v>
      </c>
      <c r="AC2062" s="45">
        <v>37259.5</v>
      </c>
    </row>
    <row r="2063" spans="28:29" x14ac:dyDescent="0.35">
      <c r="AB2063" s="26">
        <v>2060</v>
      </c>
      <c r="AC2063" s="45">
        <v>37278</v>
      </c>
    </row>
    <row r="2064" spans="28:29" x14ac:dyDescent="0.35">
      <c r="AB2064" s="44">
        <v>2061</v>
      </c>
      <c r="AC2064" s="45">
        <v>37296.5</v>
      </c>
    </row>
    <row r="2065" spans="28:29" x14ac:dyDescent="0.35">
      <c r="AB2065" s="26">
        <v>2062</v>
      </c>
      <c r="AC2065" s="45">
        <v>37315</v>
      </c>
    </row>
    <row r="2066" spans="28:29" x14ac:dyDescent="0.35">
      <c r="AB2066" s="44">
        <v>2063</v>
      </c>
      <c r="AC2066" s="45">
        <v>37333.5</v>
      </c>
    </row>
    <row r="2067" spans="28:29" x14ac:dyDescent="0.35">
      <c r="AB2067" s="26">
        <v>2064</v>
      </c>
      <c r="AC2067" s="45">
        <v>37352</v>
      </c>
    </row>
    <row r="2068" spans="28:29" x14ac:dyDescent="0.35">
      <c r="AB2068" s="26">
        <v>2065</v>
      </c>
      <c r="AC2068" s="45">
        <v>37370.5</v>
      </c>
    </row>
    <row r="2069" spans="28:29" x14ac:dyDescent="0.35">
      <c r="AB2069" s="44">
        <v>2066</v>
      </c>
      <c r="AC2069" s="45">
        <v>37389</v>
      </c>
    </row>
    <row r="2070" spans="28:29" x14ac:dyDescent="0.35">
      <c r="AB2070" s="26">
        <v>2067</v>
      </c>
      <c r="AC2070" s="45">
        <v>37407.5</v>
      </c>
    </row>
    <row r="2071" spans="28:29" x14ac:dyDescent="0.35">
      <c r="AB2071" s="44">
        <v>2068</v>
      </c>
      <c r="AC2071" s="45">
        <v>37426</v>
      </c>
    </row>
    <row r="2072" spans="28:29" x14ac:dyDescent="0.35">
      <c r="AB2072" s="26">
        <v>2069</v>
      </c>
      <c r="AC2072" s="45">
        <v>37444.25</v>
      </c>
    </row>
    <row r="2073" spans="28:29" x14ac:dyDescent="0.35">
      <c r="AB2073" s="44">
        <v>2070</v>
      </c>
      <c r="AC2073" s="45">
        <v>37462.5</v>
      </c>
    </row>
    <row r="2074" spans="28:29" x14ac:dyDescent="0.35">
      <c r="AB2074" s="26">
        <v>2071</v>
      </c>
      <c r="AC2074" s="45">
        <v>37480.75</v>
      </c>
    </row>
    <row r="2075" spans="28:29" x14ac:dyDescent="0.35">
      <c r="AB2075" s="26">
        <v>2072</v>
      </c>
      <c r="AC2075" s="45">
        <v>37499</v>
      </c>
    </row>
    <row r="2076" spans="28:29" x14ac:dyDescent="0.35">
      <c r="AB2076" s="44">
        <v>2073</v>
      </c>
      <c r="AC2076" s="45">
        <v>37517.5</v>
      </c>
    </row>
    <row r="2077" spans="28:29" x14ac:dyDescent="0.35">
      <c r="AB2077" s="26">
        <v>2074</v>
      </c>
      <c r="AC2077" s="45">
        <v>37536</v>
      </c>
    </row>
    <row r="2078" spans="28:29" x14ac:dyDescent="0.35">
      <c r="AB2078" s="44">
        <v>2075</v>
      </c>
      <c r="AC2078" s="45">
        <v>37554.5</v>
      </c>
    </row>
    <row r="2079" spans="28:29" x14ac:dyDescent="0.35">
      <c r="AB2079" s="26">
        <v>2076</v>
      </c>
      <c r="AC2079" s="45">
        <v>37573</v>
      </c>
    </row>
    <row r="2080" spans="28:29" x14ac:dyDescent="0.35">
      <c r="AB2080" s="44">
        <v>2077</v>
      </c>
      <c r="AC2080" s="45">
        <v>37591.25</v>
      </c>
    </row>
    <row r="2081" spans="28:29" x14ac:dyDescent="0.35">
      <c r="AB2081" s="26">
        <v>2078</v>
      </c>
      <c r="AC2081" s="45">
        <v>37609.5</v>
      </c>
    </row>
    <row r="2082" spans="28:29" x14ac:dyDescent="0.35">
      <c r="AB2082" s="26">
        <v>2079</v>
      </c>
      <c r="AC2082" s="45">
        <v>37627.75</v>
      </c>
    </row>
    <row r="2083" spans="28:29" x14ac:dyDescent="0.35">
      <c r="AB2083" s="44">
        <v>2080</v>
      </c>
      <c r="AC2083" s="45">
        <v>37646</v>
      </c>
    </row>
    <row r="2084" spans="28:29" x14ac:dyDescent="0.35">
      <c r="AB2084" s="26">
        <v>2081</v>
      </c>
      <c r="AC2084" s="45">
        <v>37664.25</v>
      </c>
    </row>
    <row r="2085" spans="28:29" x14ac:dyDescent="0.35">
      <c r="AB2085" s="44">
        <v>2082</v>
      </c>
      <c r="AC2085" s="45">
        <v>37682.5</v>
      </c>
    </row>
    <row r="2086" spans="28:29" x14ac:dyDescent="0.35">
      <c r="AB2086" s="26">
        <v>2083</v>
      </c>
      <c r="AC2086" s="45">
        <v>37700.75</v>
      </c>
    </row>
    <row r="2087" spans="28:29" x14ac:dyDescent="0.35">
      <c r="AB2087" s="44">
        <v>2084</v>
      </c>
      <c r="AC2087" s="45">
        <v>37719</v>
      </c>
    </row>
    <row r="2088" spans="28:29" x14ac:dyDescent="0.35">
      <c r="AB2088" s="26">
        <v>2085</v>
      </c>
      <c r="AC2088" s="45">
        <v>37737.25</v>
      </c>
    </row>
    <row r="2089" spans="28:29" x14ac:dyDescent="0.35">
      <c r="AB2089" s="26">
        <v>2086</v>
      </c>
      <c r="AC2089" s="45">
        <v>37755.5</v>
      </c>
    </row>
    <row r="2090" spans="28:29" x14ac:dyDescent="0.35">
      <c r="AB2090" s="44">
        <v>2087</v>
      </c>
      <c r="AC2090" s="45">
        <v>37773.75</v>
      </c>
    </row>
    <row r="2091" spans="28:29" x14ac:dyDescent="0.35">
      <c r="AB2091" s="26">
        <v>2088</v>
      </c>
      <c r="AC2091" s="45">
        <v>37792</v>
      </c>
    </row>
    <row r="2092" spans="28:29" x14ac:dyDescent="0.35">
      <c r="AB2092" s="44">
        <v>2089</v>
      </c>
      <c r="AC2092" s="45">
        <v>37810</v>
      </c>
    </row>
    <row r="2093" spans="28:29" x14ac:dyDescent="0.35">
      <c r="AB2093" s="26">
        <v>2090</v>
      </c>
      <c r="AC2093" s="45">
        <v>37828</v>
      </c>
    </row>
    <row r="2094" spans="28:29" x14ac:dyDescent="0.35">
      <c r="AB2094" s="44">
        <v>2091</v>
      </c>
      <c r="AC2094" s="45">
        <v>37846</v>
      </c>
    </row>
    <row r="2095" spans="28:29" x14ac:dyDescent="0.35">
      <c r="AB2095" s="26">
        <v>2092</v>
      </c>
      <c r="AC2095" s="45">
        <v>37864</v>
      </c>
    </row>
    <row r="2096" spans="28:29" x14ac:dyDescent="0.35">
      <c r="AB2096" s="26">
        <v>2093</v>
      </c>
      <c r="AC2096" s="45">
        <v>37882.25</v>
      </c>
    </row>
    <row r="2097" spans="28:29" x14ac:dyDescent="0.35">
      <c r="AB2097" s="44">
        <v>2094</v>
      </c>
      <c r="AC2097" s="45">
        <v>37900.5</v>
      </c>
    </row>
    <row r="2098" spans="28:29" x14ac:dyDescent="0.35">
      <c r="AB2098" s="26">
        <v>2095</v>
      </c>
      <c r="AC2098" s="45">
        <v>37918.75</v>
      </c>
    </row>
    <row r="2099" spans="28:29" x14ac:dyDescent="0.35">
      <c r="AB2099" s="44">
        <v>2096</v>
      </c>
      <c r="AC2099" s="45">
        <v>37937</v>
      </c>
    </row>
    <row r="2100" spans="28:29" x14ac:dyDescent="0.35">
      <c r="AB2100" s="26">
        <v>2097</v>
      </c>
      <c r="AC2100" s="45">
        <v>37955</v>
      </c>
    </row>
    <row r="2101" spans="28:29" x14ac:dyDescent="0.35">
      <c r="AB2101" s="44">
        <v>2098</v>
      </c>
      <c r="AC2101" s="45">
        <v>37973</v>
      </c>
    </row>
    <row r="2102" spans="28:29" x14ac:dyDescent="0.35">
      <c r="AB2102" s="26">
        <v>2099</v>
      </c>
      <c r="AC2102" s="45">
        <v>37991</v>
      </c>
    </row>
    <row r="2103" spans="28:29" x14ac:dyDescent="0.35">
      <c r="AB2103" s="26">
        <v>2100</v>
      </c>
      <c r="AC2103" s="45">
        <v>38009</v>
      </c>
    </row>
    <row r="2104" spans="28:29" x14ac:dyDescent="0.35">
      <c r="AB2104" s="44">
        <v>2101</v>
      </c>
      <c r="AC2104" s="45">
        <v>38027</v>
      </c>
    </row>
    <row r="2105" spans="28:29" x14ac:dyDescent="0.35">
      <c r="AB2105" s="26">
        <v>2102</v>
      </c>
      <c r="AC2105" s="45">
        <v>38045</v>
      </c>
    </row>
    <row r="2106" spans="28:29" x14ac:dyDescent="0.35">
      <c r="AB2106" s="44">
        <v>2103</v>
      </c>
      <c r="AC2106" s="45">
        <v>38063</v>
      </c>
    </row>
    <row r="2107" spans="28:29" x14ac:dyDescent="0.35">
      <c r="AB2107" s="26">
        <v>2104</v>
      </c>
      <c r="AC2107" s="45">
        <v>38081</v>
      </c>
    </row>
    <row r="2108" spans="28:29" x14ac:dyDescent="0.35">
      <c r="AB2108" s="44">
        <v>2105</v>
      </c>
      <c r="AC2108" s="45">
        <v>38099</v>
      </c>
    </row>
    <row r="2109" spans="28:29" x14ac:dyDescent="0.35">
      <c r="AB2109" s="26">
        <v>2106</v>
      </c>
      <c r="AC2109" s="45">
        <v>38117</v>
      </c>
    </row>
    <row r="2110" spans="28:29" x14ac:dyDescent="0.35">
      <c r="AB2110" s="26">
        <v>2107</v>
      </c>
      <c r="AC2110" s="45">
        <v>38135</v>
      </c>
    </row>
    <row r="2111" spans="28:29" x14ac:dyDescent="0.35">
      <c r="AB2111" s="44">
        <v>2108</v>
      </c>
      <c r="AC2111" s="45">
        <v>38153</v>
      </c>
    </row>
    <row r="2112" spans="28:29" x14ac:dyDescent="0.35">
      <c r="AB2112" s="26">
        <v>2109</v>
      </c>
      <c r="AC2112" s="45">
        <v>38171</v>
      </c>
    </row>
    <row r="2113" spans="28:29" x14ac:dyDescent="0.35">
      <c r="AB2113" s="44">
        <v>2110</v>
      </c>
      <c r="AC2113" s="45">
        <v>38189</v>
      </c>
    </row>
    <row r="2114" spans="28:29" x14ac:dyDescent="0.35">
      <c r="AB2114" s="26">
        <v>2111</v>
      </c>
      <c r="AC2114" s="45">
        <v>38207</v>
      </c>
    </row>
    <row r="2115" spans="28:29" x14ac:dyDescent="0.35">
      <c r="AB2115" s="44">
        <v>2112</v>
      </c>
      <c r="AC2115" s="45">
        <v>38225</v>
      </c>
    </row>
    <row r="2116" spans="28:29" x14ac:dyDescent="0.35">
      <c r="AB2116" s="26">
        <v>2113</v>
      </c>
      <c r="AC2116" s="45">
        <v>38243</v>
      </c>
    </row>
    <row r="2117" spans="28:29" x14ac:dyDescent="0.35">
      <c r="AB2117" s="26">
        <v>2114</v>
      </c>
      <c r="AC2117" s="45">
        <v>38261</v>
      </c>
    </row>
    <row r="2118" spans="28:29" x14ac:dyDescent="0.35">
      <c r="AB2118" s="44">
        <v>2115</v>
      </c>
      <c r="AC2118" s="45">
        <v>38279</v>
      </c>
    </row>
    <row r="2119" spans="28:29" x14ac:dyDescent="0.35">
      <c r="AB2119" s="26">
        <v>2116</v>
      </c>
      <c r="AC2119" s="45">
        <v>38297</v>
      </c>
    </row>
    <row r="2120" spans="28:29" x14ac:dyDescent="0.35">
      <c r="AB2120" s="44">
        <v>2117</v>
      </c>
      <c r="AC2120" s="45">
        <v>38314.75</v>
      </c>
    </row>
    <row r="2121" spans="28:29" x14ac:dyDescent="0.35">
      <c r="AB2121" s="26">
        <v>2118</v>
      </c>
      <c r="AC2121" s="45">
        <v>38332.5</v>
      </c>
    </row>
    <row r="2122" spans="28:29" x14ac:dyDescent="0.35">
      <c r="AB2122" s="44">
        <v>2119</v>
      </c>
      <c r="AC2122" s="45">
        <v>38350.25</v>
      </c>
    </row>
    <row r="2123" spans="28:29" x14ac:dyDescent="0.35">
      <c r="AB2123" s="26">
        <v>2120</v>
      </c>
      <c r="AC2123" s="45">
        <v>38368</v>
      </c>
    </row>
    <row r="2124" spans="28:29" x14ac:dyDescent="0.35">
      <c r="AB2124" s="26">
        <v>2121</v>
      </c>
      <c r="AC2124" s="45">
        <v>38386</v>
      </c>
    </row>
    <row r="2125" spans="28:29" x14ac:dyDescent="0.35">
      <c r="AB2125" s="44">
        <v>2122</v>
      </c>
      <c r="AC2125" s="45">
        <v>38404</v>
      </c>
    </row>
    <row r="2126" spans="28:29" x14ac:dyDescent="0.35">
      <c r="AB2126" s="26">
        <v>2123</v>
      </c>
      <c r="AC2126" s="45">
        <v>38422</v>
      </c>
    </row>
    <row r="2127" spans="28:29" x14ac:dyDescent="0.35">
      <c r="AB2127" s="44">
        <v>2124</v>
      </c>
      <c r="AC2127" s="45">
        <v>38440</v>
      </c>
    </row>
    <row r="2128" spans="28:29" x14ac:dyDescent="0.35">
      <c r="AB2128" s="26">
        <v>2125</v>
      </c>
      <c r="AC2128" s="45">
        <v>38457.75</v>
      </c>
    </row>
    <row r="2129" spans="28:29" x14ac:dyDescent="0.35">
      <c r="AB2129" s="44">
        <v>2126</v>
      </c>
      <c r="AC2129" s="45">
        <v>38475.5</v>
      </c>
    </row>
    <row r="2130" spans="28:29" x14ac:dyDescent="0.35">
      <c r="AB2130" s="26">
        <v>2127</v>
      </c>
      <c r="AC2130" s="45">
        <v>38493.25</v>
      </c>
    </row>
    <row r="2131" spans="28:29" x14ac:dyDescent="0.35">
      <c r="AB2131" s="26">
        <v>2128</v>
      </c>
      <c r="AC2131" s="45">
        <v>38511</v>
      </c>
    </row>
    <row r="2132" spans="28:29" x14ac:dyDescent="0.35">
      <c r="AB2132" s="44">
        <v>2129</v>
      </c>
      <c r="AC2132" s="45">
        <v>38528.75</v>
      </c>
    </row>
    <row r="2133" spans="28:29" x14ac:dyDescent="0.35">
      <c r="AB2133" s="26">
        <v>2130</v>
      </c>
      <c r="AC2133" s="45">
        <v>38546.5</v>
      </c>
    </row>
    <row r="2134" spans="28:29" x14ac:dyDescent="0.35">
      <c r="AB2134" s="44">
        <v>2131</v>
      </c>
      <c r="AC2134" s="45">
        <v>38564.25</v>
      </c>
    </row>
    <row r="2135" spans="28:29" x14ac:dyDescent="0.35">
      <c r="AB2135" s="26">
        <v>2132</v>
      </c>
      <c r="AC2135" s="45">
        <v>38582</v>
      </c>
    </row>
    <row r="2136" spans="28:29" x14ac:dyDescent="0.35">
      <c r="AB2136" s="44">
        <v>2133</v>
      </c>
      <c r="AC2136" s="45">
        <v>38599.75</v>
      </c>
    </row>
    <row r="2137" spans="28:29" x14ac:dyDescent="0.35">
      <c r="AB2137" s="26">
        <v>2134</v>
      </c>
      <c r="AC2137" s="45">
        <v>38617.5</v>
      </c>
    </row>
    <row r="2138" spans="28:29" x14ac:dyDescent="0.35">
      <c r="AB2138" s="26">
        <v>2135</v>
      </c>
      <c r="AC2138" s="45">
        <v>38635.25</v>
      </c>
    </row>
    <row r="2139" spans="28:29" x14ac:dyDescent="0.35">
      <c r="AB2139" s="44">
        <v>2136</v>
      </c>
      <c r="AC2139" s="45">
        <v>38653</v>
      </c>
    </row>
    <row r="2140" spans="28:29" x14ac:dyDescent="0.35">
      <c r="AB2140" s="26">
        <v>2137</v>
      </c>
      <c r="AC2140" s="45">
        <v>38670.75</v>
      </c>
    </row>
    <row r="2141" spans="28:29" x14ac:dyDescent="0.35">
      <c r="AB2141" s="44">
        <v>2138</v>
      </c>
      <c r="AC2141" s="45">
        <v>38688.5</v>
      </c>
    </row>
    <row r="2142" spans="28:29" x14ac:dyDescent="0.35">
      <c r="AB2142" s="26">
        <v>2139</v>
      </c>
      <c r="AC2142" s="45">
        <v>38706.25</v>
      </c>
    </row>
    <row r="2143" spans="28:29" x14ac:dyDescent="0.35">
      <c r="AB2143" s="44">
        <v>2140</v>
      </c>
      <c r="AC2143" s="45">
        <v>38724</v>
      </c>
    </row>
    <row r="2144" spans="28:29" x14ac:dyDescent="0.35">
      <c r="AB2144" s="26">
        <v>2141</v>
      </c>
      <c r="AC2144" s="45">
        <v>38741.5</v>
      </c>
    </row>
    <row r="2145" spans="28:29" x14ac:dyDescent="0.35">
      <c r="AB2145" s="26">
        <v>2142</v>
      </c>
      <c r="AC2145" s="45">
        <v>38759</v>
      </c>
    </row>
    <row r="2146" spans="28:29" x14ac:dyDescent="0.35">
      <c r="AB2146" s="44">
        <v>2143</v>
      </c>
      <c r="AC2146" s="45">
        <v>38776.5</v>
      </c>
    </row>
    <row r="2147" spans="28:29" x14ac:dyDescent="0.35">
      <c r="AB2147" s="26">
        <v>2144</v>
      </c>
      <c r="AC2147" s="45">
        <v>38794</v>
      </c>
    </row>
    <row r="2148" spans="28:29" x14ac:dyDescent="0.35">
      <c r="AB2148" s="44">
        <v>2145</v>
      </c>
      <c r="AC2148" s="45">
        <v>38811.5</v>
      </c>
    </row>
    <row r="2149" spans="28:29" x14ac:dyDescent="0.35">
      <c r="AB2149" s="26">
        <v>2146</v>
      </c>
      <c r="AC2149" s="45">
        <v>38829</v>
      </c>
    </row>
    <row r="2150" spans="28:29" x14ac:dyDescent="0.35">
      <c r="AB2150" s="44">
        <v>2147</v>
      </c>
      <c r="AC2150" s="45">
        <v>38846.5</v>
      </c>
    </row>
    <row r="2151" spans="28:29" x14ac:dyDescent="0.35">
      <c r="AB2151" s="26">
        <v>2148</v>
      </c>
      <c r="AC2151" s="45">
        <v>38864</v>
      </c>
    </row>
    <row r="2152" spans="28:29" x14ac:dyDescent="0.35">
      <c r="AB2152" s="26">
        <v>2149</v>
      </c>
      <c r="AC2152" s="45">
        <v>38881.5</v>
      </c>
    </row>
    <row r="2153" spans="28:29" x14ac:dyDescent="0.35">
      <c r="AB2153" s="44">
        <v>2150</v>
      </c>
      <c r="AC2153" s="45">
        <v>38899</v>
      </c>
    </row>
    <row r="2154" spans="28:29" x14ac:dyDescent="0.35">
      <c r="AB2154" s="26">
        <v>2151</v>
      </c>
      <c r="AC2154" s="45">
        <v>38916.5</v>
      </c>
    </row>
    <row r="2155" spans="28:29" x14ac:dyDescent="0.35">
      <c r="AB2155" s="44">
        <v>2152</v>
      </c>
      <c r="AC2155" s="45">
        <v>38934</v>
      </c>
    </row>
    <row r="2156" spans="28:29" x14ac:dyDescent="0.35">
      <c r="AB2156" s="26">
        <v>2153</v>
      </c>
      <c r="AC2156" s="45">
        <v>38951.5</v>
      </c>
    </row>
    <row r="2157" spans="28:29" x14ac:dyDescent="0.35">
      <c r="AB2157" s="44">
        <v>2154</v>
      </c>
      <c r="AC2157" s="45">
        <v>38969</v>
      </c>
    </row>
    <row r="2158" spans="28:29" x14ac:dyDescent="0.35">
      <c r="AB2158" s="26">
        <v>2155</v>
      </c>
      <c r="AC2158" s="45">
        <v>38986.5</v>
      </c>
    </row>
    <row r="2159" spans="28:29" x14ac:dyDescent="0.35">
      <c r="AB2159" s="26">
        <v>2156</v>
      </c>
      <c r="AC2159" s="45">
        <v>39004</v>
      </c>
    </row>
    <row r="2160" spans="28:29" x14ac:dyDescent="0.35">
      <c r="AB2160" s="44">
        <v>2157</v>
      </c>
      <c r="AC2160" s="45">
        <v>39021.5</v>
      </c>
    </row>
    <row r="2161" spans="28:29" x14ac:dyDescent="0.35">
      <c r="AB2161" s="26">
        <v>2158</v>
      </c>
      <c r="AC2161" s="45">
        <v>39039</v>
      </c>
    </row>
    <row r="2162" spans="28:29" x14ac:dyDescent="0.35">
      <c r="AB2162" s="44">
        <v>2159</v>
      </c>
      <c r="AC2162" s="45">
        <v>39056.5</v>
      </c>
    </row>
    <row r="2163" spans="28:29" x14ac:dyDescent="0.35">
      <c r="AB2163" s="26">
        <v>2160</v>
      </c>
      <c r="AC2163" s="45">
        <v>39074</v>
      </c>
    </row>
    <row r="2164" spans="28:29" x14ac:dyDescent="0.35">
      <c r="AB2164" s="44">
        <v>2161</v>
      </c>
      <c r="AC2164" s="45">
        <v>39091.5</v>
      </c>
    </row>
    <row r="2165" spans="28:29" x14ac:dyDescent="0.35">
      <c r="AB2165" s="26">
        <v>2162</v>
      </c>
      <c r="AC2165" s="45">
        <v>39109</v>
      </c>
    </row>
    <row r="2166" spans="28:29" x14ac:dyDescent="0.35">
      <c r="AB2166" s="26">
        <v>2163</v>
      </c>
      <c r="AC2166" s="45">
        <v>39126.5</v>
      </c>
    </row>
    <row r="2167" spans="28:29" x14ac:dyDescent="0.35">
      <c r="AB2167" s="44">
        <v>2164</v>
      </c>
      <c r="AC2167" s="45">
        <v>39144</v>
      </c>
    </row>
    <row r="2168" spans="28:29" x14ac:dyDescent="0.35">
      <c r="AB2168" s="26">
        <v>2165</v>
      </c>
      <c r="AC2168" s="45">
        <v>39161.25</v>
      </c>
    </row>
    <row r="2169" spans="28:29" x14ac:dyDescent="0.35">
      <c r="AB2169" s="44">
        <v>2166</v>
      </c>
      <c r="AC2169" s="45">
        <v>39178.5</v>
      </c>
    </row>
    <row r="2170" spans="28:29" x14ac:dyDescent="0.35">
      <c r="AB2170" s="26">
        <v>2167</v>
      </c>
      <c r="AC2170" s="45">
        <v>39195.75</v>
      </c>
    </row>
    <row r="2171" spans="28:29" x14ac:dyDescent="0.35">
      <c r="AB2171" s="44">
        <v>2168</v>
      </c>
      <c r="AC2171" s="45">
        <v>39213</v>
      </c>
    </row>
    <row r="2172" spans="28:29" x14ac:dyDescent="0.35">
      <c r="AB2172" s="26">
        <v>2169</v>
      </c>
      <c r="AC2172" s="45">
        <v>39230.25</v>
      </c>
    </row>
    <row r="2173" spans="28:29" x14ac:dyDescent="0.35">
      <c r="AB2173" s="26">
        <v>2170</v>
      </c>
      <c r="AC2173" s="45">
        <v>39247.5</v>
      </c>
    </row>
    <row r="2174" spans="28:29" x14ac:dyDescent="0.35">
      <c r="AB2174" s="44">
        <v>2171</v>
      </c>
      <c r="AC2174" s="45">
        <v>39264.75</v>
      </c>
    </row>
    <row r="2175" spans="28:29" x14ac:dyDescent="0.35">
      <c r="AB2175" s="26">
        <v>2172</v>
      </c>
      <c r="AC2175" s="45">
        <v>39282</v>
      </c>
    </row>
    <row r="2176" spans="28:29" x14ac:dyDescent="0.35">
      <c r="AB2176" s="44">
        <v>2173</v>
      </c>
      <c r="AC2176" s="45">
        <v>39299.5</v>
      </c>
    </row>
    <row r="2177" spans="28:29" x14ac:dyDescent="0.35">
      <c r="AB2177" s="26">
        <v>2174</v>
      </c>
      <c r="AC2177" s="45">
        <v>39317</v>
      </c>
    </row>
    <row r="2178" spans="28:29" x14ac:dyDescent="0.35">
      <c r="AB2178" s="44">
        <v>2175</v>
      </c>
      <c r="AC2178" s="45">
        <v>39334.5</v>
      </c>
    </row>
    <row r="2179" spans="28:29" x14ac:dyDescent="0.35">
      <c r="AB2179" s="26">
        <v>2176</v>
      </c>
      <c r="AC2179" s="45">
        <v>39352</v>
      </c>
    </row>
    <row r="2180" spans="28:29" x14ac:dyDescent="0.35">
      <c r="AB2180" s="26">
        <v>2177</v>
      </c>
      <c r="AC2180" s="45">
        <v>39369</v>
      </c>
    </row>
    <row r="2181" spans="28:29" x14ac:dyDescent="0.35">
      <c r="AB2181" s="44">
        <v>2178</v>
      </c>
      <c r="AC2181" s="45">
        <v>39386</v>
      </c>
    </row>
    <row r="2182" spans="28:29" x14ac:dyDescent="0.35">
      <c r="AB2182" s="26">
        <v>2179</v>
      </c>
      <c r="AC2182" s="45">
        <v>39403</v>
      </c>
    </row>
    <row r="2183" spans="28:29" x14ac:dyDescent="0.35">
      <c r="AB2183" s="44">
        <v>2180</v>
      </c>
      <c r="AC2183" s="45">
        <v>39420</v>
      </c>
    </row>
    <row r="2184" spans="28:29" x14ac:dyDescent="0.35">
      <c r="AB2184" s="26">
        <v>2181</v>
      </c>
      <c r="AC2184" s="45">
        <v>39437.25</v>
      </c>
    </row>
    <row r="2185" spans="28:29" x14ac:dyDescent="0.35">
      <c r="AB2185" s="44">
        <v>2182</v>
      </c>
      <c r="AC2185" s="45">
        <v>39454.5</v>
      </c>
    </row>
    <row r="2186" spans="28:29" x14ac:dyDescent="0.35">
      <c r="AB2186" s="26">
        <v>2183</v>
      </c>
      <c r="AC2186" s="45">
        <v>39471.75</v>
      </c>
    </row>
    <row r="2187" spans="28:29" x14ac:dyDescent="0.35">
      <c r="AB2187" s="26">
        <v>2184</v>
      </c>
      <c r="AC2187" s="45">
        <v>39489</v>
      </c>
    </row>
    <row r="2188" spans="28:29" x14ac:dyDescent="0.35">
      <c r="AB2188" s="44">
        <v>2185</v>
      </c>
      <c r="AC2188" s="45">
        <v>39506.25</v>
      </c>
    </row>
    <row r="2189" spans="28:29" x14ac:dyDescent="0.35">
      <c r="AB2189" s="26">
        <v>2186</v>
      </c>
      <c r="AC2189" s="45">
        <v>39523.5</v>
      </c>
    </row>
    <row r="2190" spans="28:29" x14ac:dyDescent="0.35">
      <c r="AB2190" s="44">
        <v>2187</v>
      </c>
      <c r="AC2190" s="45">
        <v>39540.75</v>
      </c>
    </row>
    <row r="2191" spans="28:29" x14ac:dyDescent="0.35">
      <c r="AB2191" s="26">
        <v>2188</v>
      </c>
      <c r="AC2191" s="45">
        <v>39558</v>
      </c>
    </row>
    <row r="2192" spans="28:29" x14ac:dyDescent="0.35">
      <c r="AB2192" s="44">
        <v>2189</v>
      </c>
      <c r="AC2192" s="45">
        <v>39575</v>
      </c>
    </row>
    <row r="2193" spans="28:29" x14ac:dyDescent="0.35">
      <c r="AB2193" s="26">
        <v>2190</v>
      </c>
      <c r="AC2193" s="45">
        <v>39592</v>
      </c>
    </row>
    <row r="2194" spans="28:29" x14ac:dyDescent="0.35">
      <c r="AB2194" s="26">
        <v>2191</v>
      </c>
      <c r="AC2194" s="45">
        <v>39609</v>
      </c>
    </row>
    <row r="2195" spans="28:29" x14ac:dyDescent="0.35">
      <c r="AB2195" s="44">
        <v>2192</v>
      </c>
      <c r="AC2195" s="45">
        <v>39626</v>
      </c>
    </row>
    <row r="2196" spans="28:29" x14ac:dyDescent="0.35">
      <c r="AB2196" s="26">
        <v>2193</v>
      </c>
      <c r="AC2196" s="45">
        <v>39643</v>
      </c>
    </row>
    <row r="2197" spans="28:29" x14ac:dyDescent="0.35">
      <c r="AB2197" s="44">
        <v>2194</v>
      </c>
      <c r="AC2197" s="45">
        <v>39660</v>
      </c>
    </row>
    <row r="2198" spans="28:29" x14ac:dyDescent="0.35">
      <c r="AB2198" s="26">
        <v>2195</v>
      </c>
      <c r="AC2198" s="45">
        <v>39677</v>
      </c>
    </row>
    <row r="2199" spans="28:29" x14ac:dyDescent="0.35">
      <c r="AB2199" s="44">
        <v>2196</v>
      </c>
      <c r="AC2199" s="45">
        <v>39694</v>
      </c>
    </row>
    <row r="2200" spans="28:29" x14ac:dyDescent="0.35">
      <c r="AB2200" s="26">
        <v>2197</v>
      </c>
      <c r="AC2200" s="45">
        <v>39711</v>
      </c>
    </row>
    <row r="2201" spans="28:29" x14ac:dyDescent="0.35">
      <c r="AB2201" s="26">
        <v>2198</v>
      </c>
      <c r="AC2201" s="45">
        <v>39728</v>
      </c>
    </row>
    <row r="2202" spans="28:29" x14ac:dyDescent="0.35">
      <c r="AB2202" s="44">
        <v>2199</v>
      </c>
      <c r="AC2202" s="45">
        <v>39745</v>
      </c>
    </row>
    <row r="2203" spans="28:29" x14ac:dyDescent="0.35">
      <c r="AB2203" s="26">
        <v>2200</v>
      </c>
      <c r="AC2203" s="45">
        <v>39762</v>
      </c>
    </row>
    <row r="2204" spans="28:29" x14ac:dyDescent="0.35">
      <c r="AB2204" s="44">
        <v>2201</v>
      </c>
      <c r="AC2204" s="45">
        <v>39778.75</v>
      </c>
    </row>
    <row r="2205" spans="28:29" x14ac:dyDescent="0.35">
      <c r="AB2205" s="26">
        <v>2202</v>
      </c>
      <c r="AC2205" s="45">
        <v>39795.5</v>
      </c>
    </row>
    <row r="2206" spans="28:29" x14ac:dyDescent="0.35">
      <c r="AB2206" s="44">
        <v>2203</v>
      </c>
      <c r="AC2206" s="45">
        <v>39812.25</v>
      </c>
    </row>
    <row r="2207" spans="28:29" x14ac:dyDescent="0.35">
      <c r="AB2207" s="26">
        <v>2204</v>
      </c>
      <c r="AC2207" s="45">
        <v>39829</v>
      </c>
    </row>
    <row r="2208" spans="28:29" x14ac:dyDescent="0.35">
      <c r="AB2208" s="26">
        <v>2205</v>
      </c>
      <c r="AC2208" s="45">
        <v>39846</v>
      </c>
    </row>
    <row r="2209" spans="28:29" x14ac:dyDescent="0.35">
      <c r="AB2209" s="44">
        <v>2206</v>
      </c>
      <c r="AC2209" s="45">
        <v>39863</v>
      </c>
    </row>
    <row r="2210" spans="28:29" x14ac:dyDescent="0.35">
      <c r="AB2210" s="26">
        <v>2207</v>
      </c>
      <c r="AC2210" s="45">
        <v>39880</v>
      </c>
    </row>
    <row r="2211" spans="28:29" x14ac:dyDescent="0.35">
      <c r="AB2211" s="44">
        <v>2208</v>
      </c>
      <c r="AC2211" s="45">
        <v>39897</v>
      </c>
    </row>
    <row r="2212" spans="28:29" x14ac:dyDescent="0.35">
      <c r="AB2212" s="26">
        <v>2209</v>
      </c>
      <c r="AC2212" s="45">
        <v>39913.75</v>
      </c>
    </row>
    <row r="2213" spans="28:29" x14ac:dyDescent="0.35">
      <c r="AB2213" s="44">
        <v>2210</v>
      </c>
      <c r="AC2213" s="45">
        <v>39930.5</v>
      </c>
    </row>
    <row r="2214" spans="28:29" x14ac:dyDescent="0.35">
      <c r="AB2214" s="26">
        <v>2211</v>
      </c>
      <c r="AC2214" s="45">
        <v>39947.25</v>
      </c>
    </row>
    <row r="2215" spans="28:29" x14ac:dyDescent="0.35">
      <c r="AB2215" s="26">
        <v>2212</v>
      </c>
      <c r="AC2215" s="45">
        <v>39964</v>
      </c>
    </row>
    <row r="2216" spans="28:29" x14ac:dyDescent="0.35">
      <c r="AB2216" s="44">
        <v>2213</v>
      </c>
      <c r="AC2216" s="45">
        <v>39980.75</v>
      </c>
    </row>
    <row r="2217" spans="28:29" x14ac:dyDescent="0.35">
      <c r="AB2217" s="26">
        <v>2214</v>
      </c>
      <c r="AC2217" s="45">
        <v>39997.5</v>
      </c>
    </row>
    <row r="2218" spans="28:29" x14ac:dyDescent="0.35">
      <c r="AB2218" s="44">
        <v>2215</v>
      </c>
      <c r="AC2218" s="45">
        <v>40014.25</v>
      </c>
    </row>
    <row r="2219" spans="28:29" x14ac:dyDescent="0.35">
      <c r="AB2219" s="26">
        <v>2216</v>
      </c>
      <c r="AC2219" s="45">
        <v>40031</v>
      </c>
    </row>
    <row r="2220" spans="28:29" x14ac:dyDescent="0.35">
      <c r="AB2220" s="44">
        <v>2217</v>
      </c>
      <c r="AC2220" s="45">
        <v>40047.75</v>
      </c>
    </row>
    <row r="2221" spans="28:29" x14ac:dyDescent="0.35">
      <c r="AB2221" s="26">
        <v>2218</v>
      </c>
      <c r="AC2221" s="45">
        <v>40064.5</v>
      </c>
    </row>
    <row r="2222" spans="28:29" x14ac:dyDescent="0.35">
      <c r="AB2222" s="26">
        <v>2219</v>
      </c>
      <c r="AC2222" s="45">
        <v>40081.25</v>
      </c>
    </row>
    <row r="2223" spans="28:29" x14ac:dyDescent="0.35">
      <c r="AB2223" s="44">
        <v>2220</v>
      </c>
      <c r="AC2223" s="45">
        <v>40098</v>
      </c>
    </row>
    <row r="2224" spans="28:29" x14ac:dyDescent="0.35">
      <c r="AB2224" s="26">
        <v>2221</v>
      </c>
      <c r="AC2224" s="45">
        <v>40114.75</v>
      </c>
    </row>
    <row r="2225" spans="28:29" x14ac:dyDescent="0.35">
      <c r="AB2225" s="44">
        <v>2222</v>
      </c>
      <c r="AC2225" s="45">
        <v>40131.5</v>
      </c>
    </row>
    <row r="2226" spans="28:29" x14ac:dyDescent="0.35">
      <c r="AB2226" s="26">
        <v>2223</v>
      </c>
      <c r="AC2226" s="45">
        <v>40148.25</v>
      </c>
    </row>
    <row r="2227" spans="28:29" x14ac:dyDescent="0.35">
      <c r="AB2227" s="44">
        <v>2224</v>
      </c>
      <c r="AC2227" s="45">
        <v>40165</v>
      </c>
    </row>
    <row r="2228" spans="28:29" x14ac:dyDescent="0.35">
      <c r="AB2228" s="26">
        <v>2225</v>
      </c>
      <c r="AC2228" s="45">
        <v>40181.5</v>
      </c>
    </row>
    <row r="2229" spans="28:29" x14ac:dyDescent="0.35">
      <c r="AB2229" s="26">
        <v>2226</v>
      </c>
      <c r="AC2229" s="45">
        <v>40198</v>
      </c>
    </row>
    <row r="2230" spans="28:29" x14ac:dyDescent="0.35">
      <c r="AB2230" s="44">
        <v>2227</v>
      </c>
      <c r="AC2230" s="45">
        <v>40214.5</v>
      </c>
    </row>
    <row r="2231" spans="28:29" x14ac:dyDescent="0.35">
      <c r="AB2231" s="26">
        <v>2228</v>
      </c>
      <c r="AC2231" s="45">
        <v>40231</v>
      </c>
    </row>
    <row r="2232" spans="28:29" x14ac:dyDescent="0.35">
      <c r="AB2232" s="44">
        <v>2229</v>
      </c>
      <c r="AC2232" s="45">
        <v>40247.75</v>
      </c>
    </row>
    <row r="2233" spans="28:29" x14ac:dyDescent="0.35">
      <c r="AB2233" s="26">
        <v>2230</v>
      </c>
      <c r="AC2233" s="45">
        <v>40264.5</v>
      </c>
    </row>
    <row r="2234" spans="28:29" x14ac:dyDescent="0.35">
      <c r="AB2234" s="44">
        <v>2231</v>
      </c>
      <c r="AC2234" s="45">
        <v>40281.25</v>
      </c>
    </row>
    <row r="2235" spans="28:29" x14ac:dyDescent="0.35">
      <c r="AB2235" s="26">
        <v>2232</v>
      </c>
      <c r="AC2235" s="45">
        <v>40298</v>
      </c>
    </row>
    <row r="2236" spans="28:29" x14ac:dyDescent="0.35">
      <c r="AB2236" s="26">
        <v>2233</v>
      </c>
      <c r="AC2236" s="45">
        <v>40314.5</v>
      </c>
    </row>
    <row r="2237" spans="28:29" x14ac:dyDescent="0.35">
      <c r="AB2237" s="44">
        <v>2234</v>
      </c>
      <c r="AC2237" s="45">
        <v>40331</v>
      </c>
    </row>
    <row r="2238" spans="28:29" x14ac:dyDescent="0.35">
      <c r="AB2238" s="26">
        <v>2235</v>
      </c>
      <c r="AC2238" s="45">
        <v>40347.5</v>
      </c>
    </row>
    <row r="2239" spans="28:29" x14ac:dyDescent="0.35">
      <c r="AB2239" s="44">
        <v>2236</v>
      </c>
      <c r="AC2239" s="45">
        <v>40364</v>
      </c>
    </row>
    <row r="2240" spans="28:29" x14ac:dyDescent="0.35">
      <c r="AB2240" s="26">
        <v>2237</v>
      </c>
      <c r="AC2240" s="45">
        <v>40380.5</v>
      </c>
    </row>
    <row r="2241" spans="28:29" x14ac:dyDescent="0.35">
      <c r="AB2241" s="44">
        <v>2238</v>
      </c>
      <c r="AC2241" s="45">
        <v>40397</v>
      </c>
    </row>
    <row r="2242" spans="28:29" x14ac:dyDescent="0.35">
      <c r="AB2242" s="26">
        <v>2239</v>
      </c>
      <c r="AC2242" s="45">
        <v>40413.5</v>
      </c>
    </row>
    <row r="2243" spans="28:29" x14ac:dyDescent="0.35">
      <c r="AB2243" s="26">
        <v>2240</v>
      </c>
      <c r="AC2243" s="45">
        <v>40430</v>
      </c>
    </row>
    <row r="2244" spans="28:29" x14ac:dyDescent="0.35">
      <c r="AB2244" s="44">
        <v>2241</v>
      </c>
      <c r="AC2244" s="45">
        <v>40446.25</v>
      </c>
    </row>
    <row r="2245" spans="28:29" x14ac:dyDescent="0.35">
      <c r="AB2245" s="26">
        <v>2242</v>
      </c>
      <c r="AC2245" s="45">
        <v>40462.5</v>
      </c>
    </row>
    <row r="2246" spans="28:29" x14ac:dyDescent="0.35">
      <c r="AB2246" s="44">
        <v>2243</v>
      </c>
      <c r="AC2246" s="45">
        <v>40478.75</v>
      </c>
    </row>
    <row r="2247" spans="28:29" x14ac:dyDescent="0.35">
      <c r="AB2247" s="26">
        <v>2244</v>
      </c>
      <c r="AC2247" s="45">
        <v>40495</v>
      </c>
    </row>
    <row r="2248" spans="28:29" x14ac:dyDescent="0.35">
      <c r="AB2248" s="44">
        <v>2245</v>
      </c>
      <c r="AC2248" s="45">
        <v>40511.5</v>
      </c>
    </row>
    <row r="2249" spans="28:29" x14ac:dyDescent="0.35">
      <c r="AB2249" s="26">
        <v>2246</v>
      </c>
      <c r="AC2249" s="45">
        <v>40528</v>
      </c>
    </row>
    <row r="2250" spans="28:29" x14ac:dyDescent="0.35">
      <c r="AB2250" s="26">
        <v>2247</v>
      </c>
      <c r="AC2250" s="45">
        <v>40544.5</v>
      </c>
    </row>
    <row r="2251" spans="28:29" x14ac:dyDescent="0.35">
      <c r="AB2251" s="44">
        <v>2248</v>
      </c>
      <c r="AC2251" s="45">
        <v>40561</v>
      </c>
    </row>
    <row r="2252" spans="28:29" x14ac:dyDescent="0.35">
      <c r="AB2252" s="26">
        <v>2249</v>
      </c>
      <c r="AC2252" s="45">
        <v>40577.25</v>
      </c>
    </row>
    <row r="2253" spans="28:29" x14ac:dyDescent="0.35">
      <c r="AB2253" s="44">
        <v>2250</v>
      </c>
      <c r="AC2253" s="45">
        <v>40593.5</v>
      </c>
    </row>
    <row r="2254" spans="28:29" x14ac:dyDescent="0.35">
      <c r="AB2254" s="26">
        <v>2251</v>
      </c>
      <c r="AC2254" s="45">
        <v>40609.75</v>
      </c>
    </row>
    <row r="2255" spans="28:29" x14ac:dyDescent="0.35">
      <c r="AB2255" s="44">
        <v>2252</v>
      </c>
      <c r="AC2255" s="45">
        <v>40626</v>
      </c>
    </row>
    <row r="2256" spans="28:29" x14ac:dyDescent="0.35">
      <c r="AB2256" s="26">
        <v>2253</v>
      </c>
      <c r="AC2256" s="45">
        <v>40642.25</v>
      </c>
    </row>
    <row r="2257" spans="28:29" x14ac:dyDescent="0.35">
      <c r="AB2257" s="26">
        <v>2254</v>
      </c>
      <c r="AC2257" s="45">
        <v>40658.5</v>
      </c>
    </row>
    <row r="2258" spans="28:29" x14ac:dyDescent="0.35">
      <c r="AB2258" s="44">
        <v>2255</v>
      </c>
      <c r="AC2258" s="45">
        <v>40674.75</v>
      </c>
    </row>
    <row r="2259" spans="28:29" x14ac:dyDescent="0.35">
      <c r="AB2259" s="26">
        <v>2256</v>
      </c>
      <c r="AC2259" s="45">
        <v>40691</v>
      </c>
    </row>
    <row r="2260" spans="28:29" x14ac:dyDescent="0.35">
      <c r="AB2260" s="44">
        <v>2257</v>
      </c>
      <c r="AC2260" s="45">
        <v>40707.25</v>
      </c>
    </row>
    <row r="2261" spans="28:29" x14ac:dyDescent="0.35">
      <c r="AB2261" s="26">
        <v>2258</v>
      </c>
      <c r="AC2261" s="45">
        <v>40723.5</v>
      </c>
    </row>
    <row r="2262" spans="28:29" x14ac:dyDescent="0.35">
      <c r="AB2262" s="44">
        <v>2259</v>
      </c>
      <c r="AC2262" s="45">
        <v>40739.75</v>
      </c>
    </row>
    <row r="2263" spans="28:29" x14ac:dyDescent="0.35">
      <c r="AB2263" s="26">
        <v>2260</v>
      </c>
      <c r="AC2263" s="45">
        <v>40756</v>
      </c>
    </row>
    <row r="2264" spans="28:29" x14ac:dyDescent="0.35">
      <c r="AB2264" s="26">
        <v>2261</v>
      </c>
      <c r="AC2264" s="45">
        <v>40772</v>
      </c>
    </row>
    <row r="2265" spans="28:29" x14ac:dyDescent="0.35">
      <c r="AB2265" s="44">
        <v>2262</v>
      </c>
      <c r="AC2265" s="45">
        <v>40788</v>
      </c>
    </row>
    <row r="2266" spans="28:29" x14ac:dyDescent="0.35">
      <c r="AB2266" s="26">
        <v>2263</v>
      </c>
      <c r="AC2266" s="45">
        <v>40804</v>
      </c>
    </row>
    <row r="2267" spans="28:29" x14ac:dyDescent="0.35">
      <c r="AB2267" s="44">
        <v>2264</v>
      </c>
      <c r="AC2267" s="45">
        <v>40820</v>
      </c>
    </row>
    <row r="2268" spans="28:29" x14ac:dyDescent="0.35">
      <c r="AB2268" s="26">
        <v>2265</v>
      </c>
      <c r="AC2268" s="45">
        <v>40836</v>
      </c>
    </row>
    <row r="2269" spans="28:29" x14ac:dyDescent="0.35">
      <c r="AB2269" s="44">
        <v>2266</v>
      </c>
      <c r="AC2269" s="45">
        <v>40852</v>
      </c>
    </row>
    <row r="2270" spans="28:29" x14ac:dyDescent="0.35">
      <c r="AB2270" s="26">
        <v>2267</v>
      </c>
      <c r="AC2270" s="45">
        <v>40868</v>
      </c>
    </row>
    <row r="2271" spans="28:29" x14ac:dyDescent="0.35">
      <c r="AB2271" s="26">
        <v>2268</v>
      </c>
      <c r="AC2271" s="45">
        <v>40884</v>
      </c>
    </row>
    <row r="2272" spans="28:29" x14ac:dyDescent="0.35">
      <c r="AB2272" s="44">
        <v>2269</v>
      </c>
      <c r="AC2272" s="45">
        <v>40900.25</v>
      </c>
    </row>
    <row r="2273" spans="28:29" x14ac:dyDescent="0.35">
      <c r="AB2273" s="26">
        <v>2270</v>
      </c>
      <c r="AC2273" s="45">
        <v>40916.5</v>
      </c>
    </row>
    <row r="2274" spans="28:29" x14ac:dyDescent="0.35">
      <c r="AB2274" s="44">
        <v>2271</v>
      </c>
      <c r="AC2274" s="45">
        <v>40932.75</v>
      </c>
    </row>
    <row r="2275" spans="28:29" x14ac:dyDescent="0.35">
      <c r="AB2275" s="26">
        <v>2272</v>
      </c>
      <c r="AC2275" s="45">
        <v>40949</v>
      </c>
    </row>
    <row r="2276" spans="28:29" x14ac:dyDescent="0.35">
      <c r="AB2276" s="44">
        <v>2273</v>
      </c>
      <c r="AC2276" s="45">
        <v>40964.75</v>
      </c>
    </row>
    <row r="2277" spans="28:29" x14ac:dyDescent="0.35">
      <c r="AB2277" s="26">
        <v>2274</v>
      </c>
      <c r="AC2277" s="45">
        <v>40980.5</v>
      </c>
    </row>
    <row r="2278" spans="28:29" x14ac:dyDescent="0.35">
      <c r="AB2278" s="26">
        <v>2275</v>
      </c>
      <c r="AC2278" s="45">
        <v>40996.25</v>
      </c>
    </row>
    <row r="2279" spans="28:29" x14ac:dyDescent="0.35">
      <c r="AB2279" s="44">
        <v>2276</v>
      </c>
      <c r="AC2279" s="45">
        <v>41012</v>
      </c>
    </row>
    <row r="2280" spans="28:29" x14ac:dyDescent="0.35">
      <c r="AB2280" s="26">
        <v>2277</v>
      </c>
      <c r="AC2280" s="45">
        <v>41028</v>
      </c>
    </row>
    <row r="2281" spans="28:29" x14ac:dyDescent="0.35">
      <c r="AB2281" s="44">
        <v>2278</v>
      </c>
      <c r="AC2281" s="45">
        <v>41044</v>
      </c>
    </row>
    <row r="2282" spans="28:29" x14ac:dyDescent="0.35">
      <c r="AB2282" s="26">
        <v>2279</v>
      </c>
      <c r="AC2282" s="45">
        <v>41060</v>
      </c>
    </row>
    <row r="2283" spans="28:29" x14ac:dyDescent="0.35">
      <c r="AB2283" s="44">
        <v>2280</v>
      </c>
      <c r="AC2283" s="45">
        <v>41076</v>
      </c>
    </row>
    <row r="2284" spans="28:29" x14ac:dyDescent="0.35">
      <c r="AB2284" s="26">
        <v>2281</v>
      </c>
      <c r="AC2284" s="45">
        <v>41092</v>
      </c>
    </row>
    <row r="2285" spans="28:29" x14ac:dyDescent="0.35">
      <c r="AB2285" s="26">
        <v>2282</v>
      </c>
      <c r="AC2285" s="45">
        <v>41108</v>
      </c>
    </row>
    <row r="2286" spans="28:29" x14ac:dyDescent="0.35">
      <c r="AB2286" s="44">
        <v>2283</v>
      </c>
      <c r="AC2286" s="45">
        <v>41124</v>
      </c>
    </row>
    <row r="2287" spans="28:29" x14ac:dyDescent="0.35">
      <c r="AB2287" s="26">
        <v>2284</v>
      </c>
      <c r="AC2287" s="45">
        <v>41140</v>
      </c>
    </row>
    <row r="2288" spans="28:29" x14ac:dyDescent="0.35">
      <c r="AB2288" s="44">
        <v>2285</v>
      </c>
      <c r="AC2288" s="45">
        <v>41155.75</v>
      </c>
    </row>
    <row r="2289" spans="28:29" x14ac:dyDescent="0.35">
      <c r="AB2289" s="26">
        <v>2286</v>
      </c>
      <c r="AC2289" s="45">
        <v>41171.5</v>
      </c>
    </row>
    <row r="2290" spans="28:29" x14ac:dyDescent="0.35">
      <c r="AB2290" s="44">
        <v>2287</v>
      </c>
      <c r="AC2290" s="45">
        <v>41187.25</v>
      </c>
    </row>
    <row r="2291" spans="28:29" x14ac:dyDescent="0.35">
      <c r="AB2291" s="26">
        <v>2288</v>
      </c>
      <c r="AC2291" s="45">
        <v>41203</v>
      </c>
    </row>
    <row r="2292" spans="28:29" x14ac:dyDescent="0.35">
      <c r="AB2292" s="26">
        <v>2289</v>
      </c>
      <c r="AC2292" s="45">
        <v>41218.75</v>
      </c>
    </row>
    <row r="2293" spans="28:29" x14ac:dyDescent="0.35">
      <c r="AB2293" s="44">
        <v>2290</v>
      </c>
      <c r="AC2293" s="45">
        <v>41234.5</v>
      </c>
    </row>
    <row r="2294" spans="28:29" x14ac:dyDescent="0.35">
      <c r="AB2294" s="26">
        <v>2291</v>
      </c>
      <c r="AC2294" s="45">
        <v>41250.25</v>
      </c>
    </row>
    <row r="2295" spans="28:29" x14ac:dyDescent="0.35">
      <c r="AB2295" s="44">
        <v>2292</v>
      </c>
      <c r="AC2295" s="45">
        <v>41266</v>
      </c>
    </row>
    <row r="2296" spans="28:29" x14ac:dyDescent="0.35">
      <c r="AB2296" s="26">
        <v>2293</v>
      </c>
      <c r="AC2296" s="45">
        <v>41281.5</v>
      </c>
    </row>
    <row r="2297" spans="28:29" x14ac:dyDescent="0.35">
      <c r="AB2297" s="44">
        <v>2294</v>
      </c>
      <c r="AC2297" s="45">
        <v>41297</v>
      </c>
    </row>
    <row r="2298" spans="28:29" x14ac:dyDescent="0.35">
      <c r="AB2298" s="26">
        <v>2295</v>
      </c>
      <c r="AC2298" s="45">
        <v>41312.5</v>
      </c>
    </row>
    <row r="2299" spans="28:29" x14ac:dyDescent="0.35">
      <c r="AB2299" s="26">
        <v>2296</v>
      </c>
      <c r="AC2299" s="45">
        <v>41328</v>
      </c>
    </row>
    <row r="2300" spans="28:29" x14ac:dyDescent="0.35">
      <c r="AB2300" s="44">
        <v>2297</v>
      </c>
      <c r="AC2300" s="45">
        <v>41343.75</v>
      </c>
    </row>
    <row r="2301" spans="28:29" x14ac:dyDescent="0.35">
      <c r="AB2301" s="26">
        <v>2298</v>
      </c>
      <c r="AC2301" s="45">
        <v>41359.5</v>
      </c>
    </row>
    <row r="2302" spans="28:29" x14ac:dyDescent="0.35">
      <c r="AB2302" s="44">
        <v>2299</v>
      </c>
      <c r="AC2302" s="45">
        <v>41375.25</v>
      </c>
    </row>
    <row r="2303" spans="28:29" x14ac:dyDescent="0.35">
      <c r="AB2303" s="26">
        <v>2300</v>
      </c>
      <c r="AC2303" s="45">
        <v>41391</v>
      </c>
    </row>
    <row r="2304" spans="28:29" x14ac:dyDescent="0.35">
      <c r="AB2304" s="44">
        <v>2301</v>
      </c>
      <c r="AC2304" s="45">
        <v>41406.5</v>
      </c>
    </row>
    <row r="2305" spans="28:29" x14ac:dyDescent="0.35">
      <c r="AB2305" s="26">
        <v>2302</v>
      </c>
      <c r="AC2305" s="45">
        <v>41422</v>
      </c>
    </row>
    <row r="2306" spans="28:29" x14ac:dyDescent="0.35">
      <c r="AB2306" s="26">
        <v>2303</v>
      </c>
      <c r="AC2306" s="45">
        <v>41437.5</v>
      </c>
    </row>
    <row r="2307" spans="28:29" x14ac:dyDescent="0.35">
      <c r="AB2307" s="44">
        <v>2304</v>
      </c>
      <c r="AC2307" s="45">
        <v>41453</v>
      </c>
    </row>
    <row r="2308" spans="28:29" x14ac:dyDescent="0.35">
      <c r="AB2308" s="26">
        <v>2305</v>
      </c>
      <c r="AC2308" s="45">
        <v>41468.5</v>
      </c>
    </row>
    <row r="2309" spans="28:29" x14ac:dyDescent="0.35">
      <c r="AB2309" s="44">
        <v>2306</v>
      </c>
      <c r="AC2309" s="45">
        <v>41484</v>
      </c>
    </row>
    <row r="2310" spans="28:29" x14ac:dyDescent="0.35">
      <c r="AB2310" s="26">
        <v>2307</v>
      </c>
      <c r="AC2310" s="45">
        <v>41499.5</v>
      </c>
    </row>
    <row r="2311" spans="28:29" x14ac:dyDescent="0.35">
      <c r="AB2311" s="44">
        <v>2308</v>
      </c>
      <c r="AC2311" s="45">
        <v>41515</v>
      </c>
    </row>
    <row r="2312" spans="28:29" x14ac:dyDescent="0.35">
      <c r="AB2312" s="26">
        <v>2309</v>
      </c>
      <c r="AC2312" s="45">
        <v>41530.5</v>
      </c>
    </row>
    <row r="2313" spans="28:29" x14ac:dyDescent="0.35">
      <c r="AB2313" s="26">
        <v>2310</v>
      </c>
      <c r="AC2313" s="45">
        <v>41546</v>
      </c>
    </row>
    <row r="2314" spans="28:29" x14ac:dyDescent="0.35">
      <c r="AB2314" s="44">
        <v>2311</v>
      </c>
      <c r="AC2314" s="45">
        <v>41561.5</v>
      </c>
    </row>
    <row r="2315" spans="28:29" x14ac:dyDescent="0.35">
      <c r="AB2315" s="26">
        <v>2312</v>
      </c>
      <c r="AC2315" s="45">
        <v>41577</v>
      </c>
    </row>
    <row r="2316" spans="28:29" x14ac:dyDescent="0.35">
      <c r="AB2316" s="44">
        <v>2313</v>
      </c>
      <c r="AC2316" s="45">
        <v>41592.25</v>
      </c>
    </row>
    <row r="2317" spans="28:29" x14ac:dyDescent="0.35">
      <c r="AB2317" s="26">
        <v>2314</v>
      </c>
      <c r="AC2317" s="45">
        <v>41607.5</v>
      </c>
    </row>
    <row r="2318" spans="28:29" x14ac:dyDescent="0.35">
      <c r="AB2318" s="44">
        <v>2315</v>
      </c>
      <c r="AC2318" s="45">
        <v>41622.75</v>
      </c>
    </row>
    <row r="2319" spans="28:29" x14ac:dyDescent="0.35">
      <c r="AB2319" s="26">
        <v>2316</v>
      </c>
      <c r="AC2319" s="45">
        <v>41638</v>
      </c>
    </row>
    <row r="2320" spans="28:29" x14ac:dyDescent="0.35">
      <c r="AB2320" s="26">
        <v>2317</v>
      </c>
      <c r="AC2320" s="45">
        <v>41653.5</v>
      </c>
    </row>
    <row r="2321" spans="28:29" x14ac:dyDescent="0.35">
      <c r="AB2321" s="44">
        <v>2318</v>
      </c>
      <c r="AC2321" s="45">
        <v>41669</v>
      </c>
    </row>
    <row r="2322" spans="28:29" x14ac:dyDescent="0.35">
      <c r="AB2322" s="26">
        <v>2319</v>
      </c>
      <c r="AC2322" s="45">
        <v>41684.5</v>
      </c>
    </row>
    <row r="2323" spans="28:29" x14ac:dyDescent="0.35">
      <c r="AB2323" s="44">
        <v>2320</v>
      </c>
      <c r="AC2323" s="45">
        <v>41700</v>
      </c>
    </row>
    <row r="2324" spans="28:29" x14ac:dyDescent="0.35">
      <c r="AB2324" s="26">
        <v>2321</v>
      </c>
      <c r="AC2324" s="45">
        <v>41715.25</v>
      </c>
    </row>
    <row r="2325" spans="28:29" x14ac:dyDescent="0.35">
      <c r="AB2325" s="44">
        <v>2322</v>
      </c>
      <c r="AC2325" s="45">
        <v>41730.5</v>
      </c>
    </row>
    <row r="2326" spans="28:29" x14ac:dyDescent="0.35">
      <c r="AB2326" s="26">
        <v>2323</v>
      </c>
      <c r="AC2326" s="45">
        <v>41745.75</v>
      </c>
    </row>
    <row r="2327" spans="28:29" x14ac:dyDescent="0.35">
      <c r="AB2327" s="26">
        <v>2324</v>
      </c>
      <c r="AC2327" s="45">
        <v>41761</v>
      </c>
    </row>
    <row r="2328" spans="28:29" x14ac:dyDescent="0.35">
      <c r="AB2328" s="44">
        <v>2325</v>
      </c>
      <c r="AC2328" s="45">
        <v>41776</v>
      </c>
    </row>
    <row r="2329" spans="28:29" x14ac:dyDescent="0.35">
      <c r="AB2329" s="26">
        <v>2326</v>
      </c>
      <c r="AC2329" s="45">
        <v>41791</v>
      </c>
    </row>
    <row r="2330" spans="28:29" x14ac:dyDescent="0.35">
      <c r="AB2330" s="44">
        <v>2327</v>
      </c>
      <c r="AC2330" s="45">
        <v>41806</v>
      </c>
    </row>
    <row r="2331" spans="28:29" x14ac:dyDescent="0.35">
      <c r="AB2331" s="26">
        <v>2328</v>
      </c>
      <c r="AC2331" s="45">
        <v>41821</v>
      </c>
    </row>
    <row r="2332" spans="28:29" x14ac:dyDescent="0.35">
      <c r="AB2332" s="44">
        <v>2329</v>
      </c>
      <c r="AC2332" s="45">
        <v>41836.25</v>
      </c>
    </row>
    <row r="2333" spans="28:29" x14ac:dyDescent="0.35">
      <c r="AB2333" s="26">
        <v>2330</v>
      </c>
      <c r="AC2333" s="45">
        <v>41851.5</v>
      </c>
    </row>
    <row r="2334" spans="28:29" x14ac:dyDescent="0.35">
      <c r="AB2334" s="26">
        <v>2331</v>
      </c>
      <c r="AC2334" s="45">
        <v>41866.75</v>
      </c>
    </row>
    <row r="2335" spans="28:29" x14ac:dyDescent="0.35">
      <c r="AB2335" s="44">
        <v>2332</v>
      </c>
      <c r="AC2335" s="45">
        <v>41882</v>
      </c>
    </row>
    <row r="2336" spans="28:29" x14ac:dyDescent="0.35">
      <c r="AB2336" s="26">
        <v>2333</v>
      </c>
      <c r="AC2336" s="45">
        <v>41897</v>
      </c>
    </row>
    <row r="2337" spans="28:29" x14ac:dyDescent="0.35">
      <c r="AB2337" s="44">
        <v>2334</v>
      </c>
      <c r="AC2337" s="45">
        <v>41912</v>
      </c>
    </row>
    <row r="2338" spans="28:29" x14ac:dyDescent="0.35">
      <c r="AB2338" s="26">
        <v>2335</v>
      </c>
      <c r="AC2338" s="45">
        <v>41927</v>
      </c>
    </row>
    <row r="2339" spans="28:29" x14ac:dyDescent="0.35">
      <c r="AB2339" s="44">
        <v>2336</v>
      </c>
      <c r="AC2339" s="45">
        <v>41942</v>
      </c>
    </row>
    <row r="2340" spans="28:29" x14ac:dyDescent="0.35">
      <c r="AB2340" s="26">
        <v>2337</v>
      </c>
      <c r="AC2340" s="45">
        <v>41957</v>
      </c>
    </row>
    <row r="2341" spans="28:29" x14ac:dyDescent="0.35">
      <c r="AB2341" s="26">
        <v>2338</v>
      </c>
      <c r="AC2341" s="45">
        <v>41972</v>
      </c>
    </row>
    <row r="2342" spans="28:29" x14ac:dyDescent="0.35">
      <c r="AB2342" s="44">
        <v>2339</v>
      </c>
      <c r="AC2342" s="45">
        <v>41987</v>
      </c>
    </row>
    <row r="2343" spans="28:29" x14ac:dyDescent="0.35">
      <c r="AB2343" s="26">
        <v>2340</v>
      </c>
      <c r="AC2343" s="45">
        <v>42002</v>
      </c>
    </row>
    <row r="2344" spans="28:29" x14ac:dyDescent="0.35">
      <c r="AB2344" s="44">
        <v>2341</v>
      </c>
      <c r="AC2344" s="45">
        <v>42017</v>
      </c>
    </row>
    <row r="2345" spans="28:29" x14ac:dyDescent="0.35">
      <c r="AB2345" s="26">
        <v>2342</v>
      </c>
      <c r="AC2345" s="45">
        <v>42032</v>
      </c>
    </row>
    <row r="2346" spans="28:29" x14ac:dyDescent="0.35">
      <c r="AB2346" s="44">
        <v>2343</v>
      </c>
      <c r="AC2346" s="45">
        <v>42047</v>
      </c>
    </row>
    <row r="2347" spans="28:29" x14ac:dyDescent="0.35">
      <c r="AB2347" s="26">
        <v>2344</v>
      </c>
      <c r="AC2347" s="45">
        <v>42062</v>
      </c>
    </row>
    <row r="2348" spans="28:29" x14ac:dyDescent="0.35">
      <c r="AB2348" s="26">
        <v>2345</v>
      </c>
      <c r="AC2348" s="45">
        <v>42076.75</v>
      </c>
    </row>
    <row r="2349" spans="28:29" x14ac:dyDescent="0.35">
      <c r="AB2349" s="44">
        <v>2346</v>
      </c>
      <c r="AC2349" s="45">
        <v>42091.5</v>
      </c>
    </row>
    <row r="2350" spans="28:29" x14ac:dyDescent="0.35">
      <c r="AB2350" s="26">
        <v>2347</v>
      </c>
      <c r="AC2350" s="45">
        <v>42106.25</v>
      </c>
    </row>
    <row r="2351" spans="28:29" x14ac:dyDescent="0.35">
      <c r="AB2351" s="44">
        <v>2348</v>
      </c>
      <c r="AC2351" s="45">
        <v>42121</v>
      </c>
    </row>
    <row r="2352" spans="28:29" x14ac:dyDescent="0.35">
      <c r="AB2352" s="26">
        <v>2349</v>
      </c>
      <c r="AC2352" s="45">
        <v>42136</v>
      </c>
    </row>
    <row r="2353" spans="28:29" x14ac:dyDescent="0.35">
      <c r="AB2353" s="44">
        <v>2350</v>
      </c>
      <c r="AC2353" s="45">
        <v>42151</v>
      </c>
    </row>
    <row r="2354" spans="28:29" x14ac:dyDescent="0.35">
      <c r="AB2354" s="26">
        <v>2351</v>
      </c>
      <c r="AC2354" s="45">
        <v>42166</v>
      </c>
    </row>
    <row r="2355" spans="28:29" x14ac:dyDescent="0.35">
      <c r="AB2355" s="26">
        <v>2352</v>
      </c>
      <c r="AC2355" s="45">
        <v>42181</v>
      </c>
    </row>
    <row r="2356" spans="28:29" x14ac:dyDescent="0.35">
      <c r="AB2356" s="44">
        <v>2353</v>
      </c>
      <c r="AC2356" s="45">
        <v>42195.75</v>
      </c>
    </row>
    <row r="2357" spans="28:29" x14ac:dyDescent="0.35">
      <c r="AB2357" s="26">
        <v>2354</v>
      </c>
      <c r="AC2357" s="45">
        <v>42210.5</v>
      </c>
    </row>
    <row r="2358" spans="28:29" x14ac:dyDescent="0.35">
      <c r="AB2358" s="44">
        <v>2355</v>
      </c>
      <c r="AC2358" s="45">
        <v>42225.25</v>
      </c>
    </row>
    <row r="2359" spans="28:29" x14ac:dyDescent="0.35">
      <c r="AB2359" s="26">
        <v>2356</v>
      </c>
      <c r="AC2359" s="45">
        <v>42240</v>
      </c>
    </row>
    <row r="2360" spans="28:29" x14ac:dyDescent="0.35">
      <c r="AB2360" s="44">
        <v>2357</v>
      </c>
      <c r="AC2360" s="45">
        <v>42254.5</v>
      </c>
    </row>
    <row r="2361" spans="28:29" x14ac:dyDescent="0.35">
      <c r="AB2361" s="26">
        <v>2358</v>
      </c>
      <c r="AC2361" s="45">
        <v>42269</v>
      </c>
    </row>
    <row r="2362" spans="28:29" x14ac:dyDescent="0.35">
      <c r="AB2362" s="26">
        <v>2359</v>
      </c>
      <c r="AC2362" s="45">
        <v>42283.5</v>
      </c>
    </row>
    <row r="2363" spans="28:29" x14ac:dyDescent="0.35">
      <c r="AB2363" s="44">
        <v>2360</v>
      </c>
      <c r="AC2363" s="45">
        <v>42298</v>
      </c>
    </row>
    <row r="2364" spans="28:29" x14ac:dyDescent="0.35">
      <c r="AB2364" s="26">
        <v>2361</v>
      </c>
      <c r="AC2364" s="45">
        <v>42312.75</v>
      </c>
    </row>
    <row r="2365" spans="28:29" x14ac:dyDescent="0.35">
      <c r="AB2365" s="44">
        <v>2362</v>
      </c>
      <c r="AC2365" s="45">
        <v>42327.5</v>
      </c>
    </row>
    <row r="2366" spans="28:29" x14ac:dyDescent="0.35">
      <c r="AB2366" s="26">
        <v>2363</v>
      </c>
      <c r="AC2366" s="45">
        <v>42342.25</v>
      </c>
    </row>
    <row r="2367" spans="28:29" x14ac:dyDescent="0.35">
      <c r="AB2367" s="44">
        <v>2364</v>
      </c>
      <c r="AC2367" s="45">
        <v>42357</v>
      </c>
    </row>
    <row r="2368" spans="28:29" x14ac:dyDescent="0.35">
      <c r="AB2368" s="26">
        <v>2365</v>
      </c>
      <c r="AC2368" s="45">
        <v>42371.5</v>
      </c>
    </row>
    <row r="2369" spans="28:29" x14ac:dyDescent="0.35">
      <c r="AB2369" s="26">
        <v>2366</v>
      </c>
      <c r="AC2369" s="45">
        <v>42386</v>
      </c>
    </row>
    <row r="2370" spans="28:29" x14ac:dyDescent="0.35">
      <c r="AB2370" s="44">
        <v>2367</v>
      </c>
      <c r="AC2370" s="45">
        <v>42400.5</v>
      </c>
    </row>
    <row r="2371" spans="28:29" x14ac:dyDescent="0.35">
      <c r="AB2371" s="26">
        <v>2368</v>
      </c>
      <c r="AC2371" s="45">
        <v>42415</v>
      </c>
    </row>
    <row r="2372" spans="28:29" x14ac:dyDescent="0.35">
      <c r="AB2372" s="44">
        <v>2369</v>
      </c>
      <c r="AC2372" s="45">
        <v>42429.5</v>
      </c>
    </row>
    <row r="2373" spans="28:29" x14ac:dyDescent="0.35">
      <c r="AB2373" s="26">
        <v>2370</v>
      </c>
      <c r="AC2373" s="45">
        <v>42444</v>
      </c>
    </row>
    <row r="2374" spans="28:29" x14ac:dyDescent="0.35">
      <c r="AB2374" s="44">
        <v>2371</v>
      </c>
      <c r="AC2374" s="45">
        <v>42458.5</v>
      </c>
    </row>
    <row r="2375" spans="28:29" x14ac:dyDescent="0.35">
      <c r="AB2375" s="26">
        <v>2372</v>
      </c>
      <c r="AC2375" s="45">
        <v>42473</v>
      </c>
    </row>
    <row r="2376" spans="28:29" x14ac:dyDescent="0.35">
      <c r="AB2376" s="26">
        <v>2373</v>
      </c>
      <c r="AC2376" s="45">
        <v>42487.25</v>
      </c>
    </row>
    <row r="2377" spans="28:29" x14ac:dyDescent="0.35">
      <c r="AB2377" s="44">
        <v>2374</v>
      </c>
      <c r="AC2377" s="45">
        <v>42501.5</v>
      </c>
    </row>
    <row r="2378" spans="28:29" x14ac:dyDescent="0.35">
      <c r="AB2378" s="26">
        <v>2375</v>
      </c>
      <c r="AC2378" s="45">
        <v>42515.75</v>
      </c>
    </row>
    <row r="2379" spans="28:29" x14ac:dyDescent="0.35">
      <c r="AB2379" s="44">
        <v>2376</v>
      </c>
      <c r="AC2379" s="45">
        <v>42530</v>
      </c>
    </row>
    <row r="2380" spans="28:29" x14ac:dyDescent="0.35">
      <c r="AB2380" s="26">
        <v>2377</v>
      </c>
      <c r="AC2380" s="45">
        <v>42544.25</v>
      </c>
    </row>
    <row r="2381" spans="28:29" x14ac:dyDescent="0.35">
      <c r="AB2381" s="44">
        <v>2378</v>
      </c>
      <c r="AC2381" s="45">
        <v>42558.5</v>
      </c>
    </row>
    <row r="2382" spans="28:29" x14ac:dyDescent="0.35">
      <c r="AB2382" s="26">
        <v>2379</v>
      </c>
      <c r="AC2382" s="45">
        <v>42572.75</v>
      </c>
    </row>
    <row r="2383" spans="28:29" x14ac:dyDescent="0.35">
      <c r="AB2383" s="26">
        <v>2380</v>
      </c>
      <c r="AC2383" s="45">
        <v>42587</v>
      </c>
    </row>
    <row r="2384" spans="28:29" x14ac:dyDescent="0.35">
      <c r="AB2384" s="44">
        <v>2381</v>
      </c>
      <c r="AC2384" s="45">
        <v>42601.25</v>
      </c>
    </row>
    <row r="2385" spans="28:29" x14ac:dyDescent="0.35">
      <c r="AB2385" s="26">
        <v>2382</v>
      </c>
      <c r="AC2385" s="45">
        <v>42615.5</v>
      </c>
    </row>
    <row r="2386" spans="28:29" x14ac:dyDescent="0.35">
      <c r="AB2386" s="44">
        <v>2383</v>
      </c>
      <c r="AC2386" s="45">
        <v>42629.75</v>
      </c>
    </row>
    <row r="2387" spans="28:29" x14ac:dyDescent="0.35">
      <c r="AB2387" s="26">
        <v>2384</v>
      </c>
      <c r="AC2387" s="45">
        <v>42644</v>
      </c>
    </row>
    <row r="2388" spans="28:29" x14ac:dyDescent="0.35">
      <c r="AB2388" s="44">
        <v>2385</v>
      </c>
      <c r="AC2388" s="45">
        <v>42658.25</v>
      </c>
    </row>
    <row r="2389" spans="28:29" x14ac:dyDescent="0.35">
      <c r="AB2389" s="26">
        <v>2386</v>
      </c>
      <c r="AC2389" s="45">
        <v>42672.5</v>
      </c>
    </row>
    <row r="2390" spans="28:29" x14ac:dyDescent="0.35">
      <c r="AB2390" s="26">
        <v>2387</v>
      </c>
      <c r="AC2390" s="45">
        <v>42686.75</v>
      </c>
    </row>
    <row r="2391" spans="28:29" x14ac:dyDescent="0.35">
      <c r="AB2391" s="44">
        <v>2388</v>
      </c>
      <c r="AC2391" s="45">
        <v>42701</v>
      </c>
    </row>
    <row r="2392" spans="28:29" x14ac:dyDescent="0.35">
      <c r="AB2392" s="26">
        <v>2389</v>
      </c>
      <c r="AC2392" s="45">
        <v>42715.25</v>
      </c>
    </row>
    <row r="2393" spans="28:29" x14ac:dyDescent="0.35">
      <c r="AB2393" s="44">
        <v>2390</v>
      </c>
      <c r="AC2393" s="45">
        <v>42729.5</v>
      </c>
    </row>
    <row r="2394" spans="28:29" x14ac:dyDescent="0.35">
      <c r="AB2394" s="26">
        <v>2391</v>
      </c>
      <c r="AC2394" s="45">
        <v>42743.75</v>
      </c>
    </row>
    <row r="2395" spans="28:29" x14ac:dyDescent="0.35">
      <c r="AB2395" s="44">
        <v>2392</v>
      </c>
      <c r="AC2395" s="45">
        <v>42758</v>
      </c>
    </row>
    <row r="2396" spans="28:29" x14ac:dyDescent="0.35">
      <c r="AB2396" s="26">
        <v>2393</v>
      </c>
      <c r="AC2396" s="45">
        <v>42772</v>
      </c>
    </row>
    <row r="2397" spans="28:29" x14ac:dyDescent="0.35">
      <c r="AB2397" s="26">
        <v>2394</v>
      </c>
      <c r="AC2397" s="45">
        <v>42786</v>
      </c>
    </row>
    <row r="2398" spans="28:29" x14ac:dyDescent="0.35">
      <c r="AB2398" s="44">
        <v>2395</v>
      </c>
      <c r="AC2398" s="45">
        <v>42800</v>
      </c>
    </row>
    <row r="2399" spans="28:29" x14ac:dyDescent="0.35">
      <c r="AB2399" s="26">
        <v>2396</v>
      </c>
      <c r="AC2399" s="45">
        <v>42814</v>
      </c>
    </row>
    <row r="2400" spans="28:29" x14ac:dyDescent="0.35">
      <c r="AB2400" s="44">
        <v>2397</v>
      </c>
      <c r="AC2400" s="45">
        <v>42828</v>
      </c>
    </row>
    <row r="2401" spans="28:29" x14ac:dyDescent="0.35">
      <c r="AB2401" s="26">
        <v>2398</v>
      </c>
      <c r="AC2401" s="45">
        <v>42842</v>
      </c>
    </row>
    <row r="2402" spans="28:29" x14ac:dyDescent="0.35">
      <c r="AB2402" s="44">
        <v>2399</v>
      </c>
      <c r="AC2402" s="45">
        <v>42856</v>
      </c>
    </row>
    <row r="2403" spans="28:29" x14ac:dyDescent="0.35">
      <c r="AB2403" s="26">
        <v>2400</v>
      </c>
      <c r="AC2403" s="45">
        <v>42870</v>
      </c>
    </row>
    <row r="2404" spans="28:29" x14ac:dyDescent="0.35">
      <c r="AB2404" s="26">
        <v>2401</v>
      </c>
      <c r="AC2404" s="45">
        <v>42883.75</v>
      </c>
    </row>
    <row r="2405" spans="28:29" x14ac:dyDescent="0.35">
      <c r="AB2405" s="44">
        <v>2402</v>
      </c>
      <c r="AC2405" s="45">
        <v>42897.5</v>
      </c>
    </row>
    <row r="2406" spans="28:29" x14ac:dyDescent="0.35">
      <c r="AB2406" s="26">
        <v>2403</v>
      </c>
      <c r="AC2406" s="45">
        <v>42911.25</v>
      </c>
    </row>
    <row r="2407" spans="28:29" x14ac:dyDescent="0.35">
      <c r="AB2407" s="44">
        <v>2404</v>
      </c>
      <c r="AC2407" s="45">
        <v>42925</v>
      </c>
    </row>
    <row r="2408" spans="28:29" x14ac:dyDescent="0.35">
      <c r="AB2408" s="26">
        <v>2405</v>
      </c>
      <c r="AC2408" s="45">
        <v>42938.75</v>
      </c>
    </row>
    <row r="2409" spans="28:29" x14ac:dyDescent="0.35">
      <c r="AB2409" s="44">
        <v>2406</v>
      </c>
      <c r="AC2409" s="45">
        <v>42952.5</v>
      </c>
    </row>
    <row r="2410" spans="28:29" x14ac:dyDescent="0.35">
      <c r="AB2410" s="26">
        <v>2407</v>
      </c>
      <c r="AC2410" s="45">
        <v>42966.25</v>
      </c>
    </row>
    <row r="2411" spans="28:29" x14ac:dyDescent="0.35">
      <c r="AB2411" s="26">
        <v>2408</v>
      </c>
      <c r="AC2411" s="45">
        <v>42980</v>
      </c>
    </row>
    <row r="2412" spans="28:29" x14ac:dyDescent="0.35">
      <c r="AB2412" s="44">
        <v>2409</v>
      </c>
      <c r="AC2412" s="45">
        <v>42993.75</v>
      </c>
    </row>
    <row r="2413" spans="28:29" x14ac:dyDescent="0.35">
      <c r="AB2413" s="26">
        <v>2410</v>
      </c>
      <c r="AC2413" s="45">
        <v>43007.5</v>
      </c>
    </row>
    <row r="2414" spans="28:29" x14ac:dyDescent="0.35">
      <c r="AB2414" s="44">
        <v>2411</v>
      </c>
      <c r="AC2414" s="45">
        <v>43021.25</v>
      </c>
    </row>
    <row r="2415" spans="28:29" x14ac:dyDescent="0.35">
      <c r="AB2415" s="26">
        <v>2412</v>
      </c>
      <c r="AC2415" s="45">
        <v>43035</v>
      </c>
    </row>
    <row r="2416" spans="28:29" x14ac:dyDescent="0.35">
      <c r="AB2416" s="44">
        <v>2413</v>
      </c>
      <c r="AC2416" s="45">
        <v>43048.75</v>
      </c>
    </row>
    <row r="2417" spans="28:29" x14ac:dyDescent="0.35">
      <c r="AB2417" s="26">
        <v>2414</v>
      </c>
      <c r="AC2417" s="45">
        <v>43062.5</v>
      </c>
    </row>
    <row r="2418" spans="28:29" x14ac:dyDescent="0.35">
      <c r="AB2418" s="26">
        <v>2415</v>
      </c>
      <c r="AC2418" s="45">
        <v>43076.25</v>
      </c>
    </row>
    <row r="2419" spans="28:29" x14ac:dyDescent="0.35">
      <c r="AB2419" s="44">
        <v>2416</v>
      </c>
      <c r="AC2419" s="45">
        <v>43090</v>
      </c>
    </row>
    <row r="2420" spans="28:29" x14ac:dyDescent="0.35">
      <c r="AB2420" s="26">
        <v>2417</v>
      </c>
      <c r="AC2420" s="45">
        <v>43103.5</v>
      </c>
    </row>
    <row r="2421" spans="28:29" x14ac:dyDescent="0.35">
      <c r="AB2421" s="44">
        <v>2418</v>
      </c>
      <c r="AC2421" s="45">
        <v>43117</v>
      </c>
    </row>
    <row r="2422" spans="28:29" x14ac:dyDescent="0.35">
      <c r="AB2422" s="26">
        <v>2419</v>
      </c>
      <c r="AC2422" s="45">
        <v>43130.5</v>
      </c>
    </row>
    <row r="2423" spans="28:29" x14ac:dyDescent="0.35">
      <c r="AB2423" s="44">
        <v>2420</v>
      </c>
      <c r="AC2423" s="45">
        <v>43144</v>
      </c>
    </row>
    <row r="2424" spans="28:29" x14ac:dyDescent="0.35">
      <c r="AB2424" s="26">
        <v>2421</v>
      </c>
      <c r="AC2424" s="45">
        <v>43157.75</v>
      </c>
    </row>
    <row r="2425" spans="28:29" x14ac:dyDescent="0.35">
      <c r="AB2425" s="26">
        <v>2422</v>
      </c>
      <c r="AC2425" s="45">
        <v>43171.5</v>
      </c>
    </row>
    <row r="2426" spans="28:29" x14ac:dyDescent="0.35">
      <c r="AB2426" s="44">
        <v>2423</v>
      </c>
      <c r="AC2426" s="45">
        <v>43185.25</v>
      </c>
    </row>
    <row r="2427" spans="28:29" x14ac:dyDescent="0.35">
      <c r="AB2427" s="26">
        <v>2424</v>
      </c>
      <c r="AC2427" s="45">
        <v>43199</v>
      </c>
    </row>
    <row r="2428" spans="28:29" x14ac:dyDescent="0.35">
      <c r="AB2428" s="44">
        <v>2425</v>
      </c>
      <c r="AC2428" s="45">
        <v>43212.25</v>
      </c>
    </row>
    <row r="2429" spans="28:29" x14ac:dyDescent="0.35">
      <c r="AB2429" s="26">
        <v>2426</v>
      </c>
      <c r="AC2429" s="45">
        <v>43225.5</v>
      </c>
    </row>
    <row r="2430" spans="28:29" x14ac:dyDescent="0.35">
      <c r="AB2430" s="44">
        <v>2427</v>
      </c>
      <c r="AC2430" s="45">
        <v>43238.75</v>
      </c>
    </row>
    <row r="2431" spans="28:29" x14ac:dyDescent="0.35">
      <c r="AB2431" s="26">
        <v>2428</v>
      </c>
      <c r="AC2431" s="45">
        <v>43252</v>
      </c>
    </row>
    <row r="2432" spans="28:29" x14ac:dyDescent="0.35">
      <c r="AB2432" s="26">
        <v>2429</v>
      </c>
      <c r="AC2432" s="45">
        <v>43265.5</v>
      </c>
    </row>
    <row r="2433" spans="28:29" x14ac:dyDescent="0.35">
      <c r="AB2433" s="44">
        <v>2430</v>
      </c>
      <c r="AC2433" s="45">
        <v>43279</v>
      </c>
    </row>
    <row r="2434" spans="28:29" x14ac:dyDescent="0.35">
      <c r="AB2434" s="26">
        <v>2431</v>
      </c>
      <c r="AC2434" s="45">
        <v>43292.5</v>
      </c>
    </row>
    <row r="2435" spans="28:29" x14ac:dyDescent="0.35">
      <c r="AB2435" s="44">
        <v>2432</v>
      </c>
      <c r="AC2435" s="45">
        <v>43306</v>
      </c>
    </row>
    <row r="2436" spans="28:29" x14ac:dyDescent="0.35">
      <c r="AB2436" s="26">
        <v>2433</v>
      </c>
      <c r="AC2436" s="45">
        <v>43319.25</v>
      </c>
    </row>
    <row r="2437" spans="28:29" x14ac:dyDescent="0.35">
      <c r="AB2437" s="44">
        <v>2434</v>
      </c>
      <c r="AC2437" s="45">
        <v>43332.5</v>
      </c>
    </row>
    <row r="2438" spans="28:29" x14ac:dyDescent="0.35">
      <c r="AB2438" s="26">
        <v>2435</v>
      </c>
      <c r="AC2438" s="45">
        <v>43345.75</v>
      </c>
    </row>
    <row r="2439" spans="28:29" x14ac:dyDescent="0.35">
      <c r="AB2439" s="26">
        <v>2436</v>
      </c>
      <c r="AC2439" s="45">
        <v>43359</v>
      </c>
    </row>
    <row r="2440" spans="28:29" x14ac:dyDescent="0.35">
      <c r="AB2440" s="44">
        <v>2437</v>
      </c>
      <c r="AC2440" s="45">
        <v>43372.25</v>
      </c>
    </row>
    <row r="2441" spans="28:29" x14ac:dyDescent="0.35">
      <c r="AB2441" s="26">
        <v>2438</v>
      </c>
      <c r="AC2441" s="45">
        <v>43385.5</v>
      </c>
    </row>
    <row r="2442" spans="28:29" x14ac:dyDescent="0.35">
      <c r="AB2442" s="44">
        <v>2439</v>
      </c>
      <c r="AC2442" s="45">
        <v>43398.75</v>
      </c>
    </row>
    <row r="2443" spans="28:29" x14ac:dyDescent="0.35">
      <c r="AB2443" s="26">
        <v>2440</v>
      </c>
      <c r="AC2443" s="45">
        <v>43412</v>
      </c>
    </row>
    <row r="2444" spans="28:29" x14ac:dyDescent="0.35">
      <c r="AB2444" s="44">
        <v>2441</v>
      </c>
      <c r="AC2444" s="45">
        <v>43425</v>
      </c>
    </row>
    <row r="2445" spans="28:29" x14ac:dyDescent="0.35">
      <c r="AB2445" s="26">
        <v>2442</v>
      </c>
      <c r="AC2445" s="45">
        <v>43438</v>
      </c>
    </row>
    <row r="2446" spans="28:29" x14ac:dyDescent="0.35">
      <c r="AB2446" s="26">
        <v>2443</v>
      </c>
      <c r="AC2446" s="45">
        <v>43451</v>
      </c>
    </row>
    <row r="2447" spans="28:29" x14ac:dyDescent="0.35">
      <c r="AB2447" s="44">
        <v>2444</v>
      </c>
      <c r="AC2447" s="45">
        <v>43464</v>
      </c>
    </row>
    <row r="2448" spans="28:29" x14ac:dyDescent="0.35">
      <c r="AB2448" s="26">
        <v>2445</v>
      </c>
      <c r="AC2448" s="45">
        <v>43477</v>
      </c>
    </row>
    <row r="2449" spans="28:29" x14ac:dyDescent="0.35">
      <c r="AB2449" s="44">
        <v>2446</v>
      </c>
      <c r="AC2449" s="45">
        <v>43490</v>
      </c>
    </row>
    <row r="2450" spans="28:29" x14ac:dyDescent="0.35">
      <c r="AB2450" s="26">
        <v>2447</v>
      </c>
      <c r="AC2450" s="45">
        <v>43503</v>
      </c>
    </row>
    <row r="2451" spans="28:29" x14ac:dyDescent="0.35">
      <c r="AB2451" s="44">
        <v>2448</v>
      </c>
      <c r="AC2451" s="45">
        <v>43516</v>
      </c>
    </row>
    <row r="2452" spans="28:29" x14ac:dyDescent="0.35">
      <c r="AB2452" s="26">
        <v>2449</v>
      </c>
      <c r="AC2452" s="45">
        <v>43529</v>
      </c>
    </row>
    <row r="2453" spans="28:29" x14ac:dyDescent="0.35">
      <c r="AB2453" s="26">
        <v>2450</v>
      </c>
      <c r="AC2453" s="45">
        <v>43542</v>
      </c>
    </row>
    <row r="2454" spans="28:29" x14ac:dyDescent="0.35">
      <c r="AB2454" s="44">
        <v>2451</v>
      </c>
      <c r="AC2454" s="45">
        <v>43555</v>
      </c>
    </row>
    <row r="2455" spans="28:29" x14ac:dyDescent="0.35">
      <c r="AB2455" s="26">
        <v>2452</v>
      </c>
      <c r="AC2455" s="45">
        <v>43568</v>
      </c>
    </row>
    <row r="2456" spans="28:29" x14ac:dyDescent="0.35">
      <c r="AB2456" s="44">
        <v>2453</v>
      </c>
      <c r="AC2456" s="45">
        <v>43580.75</v>
      </c>
    </row>
    <row r="2457" spans="28:29" x14ac:dyDescent="0.35">
      <c r="AB2457" s="26">
        <v>2454</v>
      </c>
      <c r="AC2457" s="45">
        <v>43593.5</v>
      </c>
    </row>
    <row r="2458" spans="28:29" x14ac:dyDescent="0.35">
      <c r="AB2458" s="44">
        <v>2455</v>
      </c>
      <c r="AC2458" s="45">
        <v>43606.25</v>
      </c>
    </row>
    <row r="2459" spans="28:29" x14ac:dyDescent="0.35">
      <c r="AB2459" s="26">
        <v>2456</v>
      </c>
      <c r="AC2459" s="45">
        <v>43619</v>
      </c>
    </row>
    <row r="2460" spans="28:29" x14ac:dyDescent="0.35">
      <c r="AB2460" s="26">
        <v>2457</v>
      </c>
      <c r="AC2460" s="45">
        <v>43631.75</v>
      </c>
    </row>
    <row r="2461" spans="28:29" x14ac:dyDescent="0.35">
      <c r="AB2461" s="44">
        <v>2458</v>
      </c>
      <c r="AC2461" s="45">
        <v>43644.5</v>
      </c>
    </row>
    <row r="2462" spans="28:29" x14ac:dyDescent="0.35">
      <c r="AB2462" s="26">
        <v>2459</v>
      </c>
      <c r="AC2462" s="45">
        <v>43657.25</v>
      </c>
    </row>
    <row r="2463" spans="28:29" x14ac:dyDescent="0.35">
      <c r="AB2463" s="44">
        <v>2460</v>
      </c>
      <c r="AC2463" s="45">
        <v>43670</v>
      </c>
    </row>
    <row r="2464" spans="28:29" x14ac:dyDescent="0.35">
      <c r="AB2464" s="26">
        <v>2461</v>
      </c>
      <c r="AC2464" s="45">
        <v>43682.75</v>
      </c>
    </row>
    <row r="2465" spans="28:29" x14ac:dyDescent="0.35">
      <c r="AB2465" s="44">
        <v>2462</v>
      </c>
      <c r="AC2465" s="45">
        <v>43695.5</v>
      </c>
    </row>
    <row r="2466" spans="28:29" x14ac:dyDescent="0.35">
      <c r="AB2466" s="26">
        <v>2463</v>
      </c>
      <c r="AC2466" s="45">
        <v>43708.25</v>
      </c>
    </row>
    <row r="2467" spans="28:29" x14ac:dyDescent="0.35">
      <c r="AB2467" s="26">
        <v>2464</v>
      </c>
      <c r="AC2467" s="45">
        <v>43721</v>
      </c>
    </row>
    <row r="2468" spans="28:29" x14ac:dyDescent="0.35">
      <c r="AB2468" s="44">
        <v>2465</v>
      </c>
      <c r="AC2468" s="45">
        <v>43733.75</v>
      </c>
    </row>
    <row r="2469" spans="28:29" x14ac:dyDescent="0.35">
      <c r="AB2469" s="26">
        <v>2466</v>
      </c>
      <c r="AC2469" s="45">
        <v>43746.5</v>
      </c>
    </row>
    <row r="2470" spans="28:29" x14ac:dyDescent="0.35">
      <c r="AB2470" s="44">
        <v>2467</v>
      </c>
      <c r="AC2470" s="45">
        <v>43759.25</v>
      </c>
    </row>
    <row r="2471" spans="28:29" x14ac:dyDescent="0.35">
      <c r="AB2471" s="26">
        <v>2468</v>
      </c>
      <c r="AC2471" s="45">
        <v>43772</v>
      </c>
    </row>
    <row r="2472" spans="28:29" x14ac:dyDescent="0.35">
      <c r="AB2472" s="44">
        <v>2469</v>
      </c>
      <c r="AC2472" s="45">
        <v>43784.5</v>
      </c>
    </row>
    <row r="2473" spans="28:29" x14ac:dyDescent="0.35">
      <c r="AB2473" s="26">
        <v>2470</v>
      </c>
      <c r="AC2473" s="45">
        <v>43797</v>
      </c>
    </row>
    <row r="2474" spans="28:29" x14ac:dyDescent="0.35">
      <c r="AB2474" s="26">
        <v>2471</v>
      </c>
      <c r="AC2474" s="45">
        <v>43809.5</v>
      </c>
    </row>
    <row r="2475" spans="28:29" x14ac:dyDescent="0.35">
      <c r="AB2475" s="44">
        <v>2472</v>
      </c>
      <c r="AC2475" s="45">
        <v>43822</v>
      </c>
    </row>
    <row r="2476" spans="28:29" x14ac:dyDescent="0.35">
      <c r="AB2476" s="26">
        <v>2473</v>
      </c>
      <c r="AC2476" s="45">
        <v>43834.25</v>
      </c>
    </row>
    <row r="2477" spans="28:29" x14ac:dyDescent="0.35">
      <c r="AB2477" s="44">
        <v>2474</v>
      </c>
      <c r="AC2477" s="45">
        <v>43846.5</v>
      </c>
    </row>
    <row r="2478" spans="28:29" x14ac:dyDescent="0.35">
      <c r="AB2478" s="26">
        <v>2475</v>
      </c>
      <c r="AC2478" s="45">
        <v>43858.75</v>
      </c>
    </row>
    <row r="2479" spans="28:29" x14ac:dyDescent="0.35">
      <c r="AB2479" s="44">
        <v>2476</v>
      </c>
      <c r="AC2479" s="45">
        <v>43871</v>
      </c>
    </row>
    <row r="2480" spans="28:29" x14ac:dyDescent="0.35">
      <c r="AB2480" s="26">
        <v>2477</v>
      </c>
      <c r="AC2480" s="45">
        <v>43883.5</v>
      </c>
    </row>
    <row r="2481" spans="28:29" x14ac:dyDescent="0.35">
      <c r="AB2481" s="26">
        <v>2478</v>
      </c>
      <c r="AC2481" s="45">
        <v>43896</v>
      </c>
    </row>
    <row r="2482" spans="28:29" x14ac:dyDescent="0.35">
      <c r="AB2482" s="44">
        <v>2479</v>
      </c>
      <c r="AC2482" s="45">
        <v>43908.5</v>
      </c>
    </row>
    <row r="2483" spans="28:29" x14ac:dyDescent="0.35">
      <c r="AB2483" s="26">
        <v>2480</v>
      </c>
      <c r="AC2483" s="45">
        <v>43921</v>
      </c>
    </row>
    <row r="2484" spans="28:29" x14ac:dyDescent="0.35">
      <c r="AB2484" s="44">
        <v>2481</v>
      </c>
      <c r="AC2484" s="45">
        <v>43933.25</v>
      </c>
    </row>
    <row r="2485" spans="28:29" x14ac:dyDescent="0.35">
      <c r="AB2485" s="26">
        <v>2482</v>
      </c>
      <c r="AC2485" s="45">
        <v>43945.5</v>
      </c>
    </row>
    <row r="2486" spans="28:29" x14ac:dyDescent="0.35">
      <c r="AB2486" s="44">
        <v>2483</v>
      </c>
      <c r="AC2486" s="45">
        <v>43957.75</v>
      </c>
    </row>
    <row r="2487" spans="28:29" x14ac:dyDescent="0.35">
      <c r="AB2487" s="26">
        <v>2484</v>
      </c>
      <c r="AC2487" s="45">
        <v>43970</v>
      </c>
    </row>
    <row r="2488" spans="28:29" x14ac:dyDescent="0.35">
      <c r="AB2488" s="26">
        <v>2485</v>
      </c>
      <c r="AC2488" s="45">
        <v>43982.25</v>
      </c>
    </row>
    <row r="2489" spans="28:29" x14ac:dyDescent="0.35">
      <c r="AB2489" s="44">
        <v>2486</v>
      </c>
      <c r="AC2489" s="45">
        <v>43994.5</v>
      </c>
    </row>
    <row r="2490" spans="28:29" x14ac:dyDescent="0.35">
      <c r="AB2490" s="26">
        <v>2487</v>
      </c>
      <c r="AC2490" s="45">
        <v>44006.75</v>
      </c>
    </row>
    <row r="2491" spans="28:29" x14ac:dyDescent="0.35">
      <c r="AB2491" s="44">
        <v>2488</v>
      </c>
      <c r="AC2491" s="45">
        <v>44019</v>
      </c>
    </row>
    <row r="2492" spans="28:29" x14ac:dyDescent="0.35">
      <c r="AB2492" s="26">
        <v>2489</v>
      </c>
      <c r="AC2492" s="45">
        <v>44031</v>
      </c>
    </row>
    <row r="2493" spans="28:29" x14ac:dyDescent="0.35">
      <c r="AB2493" s="44">
        <v>2490</v>
      </c>
      <c r="AC2493" s="45">
        <v>44043</v>
      </c>
    </row>
    <row r="2494" spans="28:29" x14ac:dyDescent="0.35">
      <c r="AB2494" s="26">
        <v>2491</v>
      </c>
      <c r="AC2494" s="45">
        <v>44055</v>
      </c>
    </row>
    <row r="2495" spans="28:29" x14ac:dyDescent="0.35">
      <c r="AB2495" s="26">
        <v>2492</v>
      </c>
      <c r="AC2495" s="45">
        <v>44067</v>
      </c>
    </row>
    <row r="2496" spans="28:29" x14ac:dyDescent="0.35">
      <c r="AB2496" s="44">
        <v>2493</v>
      </c>
      <c r="AC2496" s="45">
        <v>44079</v>
      </c>
    </row>
    <row r="2497" spans="28:29" x14ac:dyDescent="0.35">
      <c r="AB2497" s="26">
        <v>2494</v>
      </c>
      <c r="AC2497" s="45">
        <v>44091</v>
      </c>
    </row>
    <row r="2498" spans="28:29" x14ac:dyDescent="0.35">
      <c r="AB2498" s="44">
        <v>2495</v>
      </c>
      <c r="AC2498" s="45">
        <v>44103</v>
      </c>
    </row>
    <row r="2499" spans="28:29" x14ac:dyDescent="0.35">
      <c r="AB2499" s="26">
        <v>2496</v>
      </c>
      <c r="AC2499" s="45">
        <v>44115</v>
      </c>
    </row>
    <row r="2500" spans="28:29" x14ac:dyDescent="0.35">
      <c r="AB2500" s="44">
        <v>2497</v>
      </c>
      <c r="AC2500" s="45">
        <v>44126.75</v>
      </c>
    </row>
    <row r="2501" spans="28:29" x14ac:dyDescent="0.35">
      <c r="AB2501" s="26">
        <v>2498</v>
      </c>
      <c r="AC2501" s="45">
        <v>44138.5</v>
      </c>
    </row>
    <row r="2502" spans="28:29" x14ac:dyDescent="0.35">
      <c r="AB2502" s="26">
        <v>2499</v>
      </c>
      <c r="AC2502" s="45">
        <v>44150.25</v>
      </c>
    </row>
    <row r="2503" spans="28:29" x14ac:dyDescent="0.35">
      <c r="AB2503" s="44">
        <v>2500</v>
      </c>
      <c r="AC2503" s="45">
        <v>44162</v>
      </c>
    </row>
    <row r="2504" spans="28:29" x14ac:dyDescent="0.35">
      <c r="AB2504" s="26">
        <v>2501</v>
      </c>
      <c r="AC2504" s="45">
        <v>44173.75</v>
      </c>
    </row>
    <row r="2505" spans="28:29" x14ac:dyDescent="0.35">
      <c r="AB2505" s="44">
        <v>2502</v>
      </c>
      <c r="AC2505" s="45">
        <v>44185.5</v>
      </c>
    </row>
    <row r="2506" spans="28:29" x14ac:dyDescent="0.35">
      <c r="AB2506" s="26">
        <v>2503</v>
      </c>
      <c r="AC2506" s="45">
        <v>44197.25</v>
      </c>
    </row>
    <row r="2507" spans="28:29" x14ac:dyDescent="0.35">
      <c r="AB2507" s="44">
        <v>2504</v>
      </c>
      <c r="AC2507" s="45">
        <v>44209</v>
      </c>
    </row>
    <row r="2508" spans="28:29" x14ac:dyDescent="0.35">
      <c r="AB2508" s="26">
        <v>2505</v>
      </c>
      <c r="AC2508" s="45">
        <v>44220.75</v>
      </c>
    </row>
    <row r="2509" spans="28:29" x14ac:dyDescent="0.35">
      <c r="AB2509" s="26">
        <v>2506</v>
      </c>
      <c r="AC2509" s="45">
        <v>44232.5</v>
      </c>
    </row>
    <row r="2510" spans="28:29" x14ac:dyDescent="0.35">
      <c r="AB2510" s="44">
        <v>2507</v>
      </c>
      <c r="AC2510" s="45">
        <v>44244.25</v>
      </c>
    </row>
    <row r="2511" spans="28:29" x14ac:dyDescent="0.35">
      <c r="AB2511" s="26">
        <v>2508</v>
      </c>
      <c r="AC2511" s="45">
        <v>44256</v>
      </c>
    </row>
    <row r="2512" spans="28:29" x14ac:dyDescent="0.35">
      <c r="AB2512" s="44">
        <v>2509</v>
      </c>
      <c r="AC2512" s="45">
        <v>44267.75</v>
      </c>
    </row>
    <row r="2513" spans="28:29" x14ac:dyDescent="0.35">
      <c r="AB2513" s="26">
        <v>2510</v>
      </c>
      <c r="AC2513" s="45">
        <v>44279.5</v>
      </c>
    </row>
    <row r="2514" spans="28:29" x14ac:dyDescent="0.35">
      <c r="AB2514" s="44">
        <v>2511</v>
      </c>
      <c r="AC2514" s="45">
        <v>44291.25</v>
      </c>
    </row>
    <row r="2515" spans="28:29" x14ac:dyDescent="0.35">
      <c r="AB2515" s="26">
        <v>2512</v>
      </c>
      <c r="AC2515" s="45">
        <v>44303</v>
      </c>
    </row>
    <row r="2516" spans="28:29" x14ac:dyDescent="0.35">
      <c r="AB2516" s="26">
        <v>2513</v>
      </c>
      <c r="AC2516" s="45">
        <v>44314.5</v>
      </c>
    </row>
    <row r="2517" spans="28:29" x14ac:dyDescent="0.35">
      <c r="AB2517" s="44">
        <v>2514</v>
      </c>
      <c r="AC2517" s="45">
        <v>44326</v>
      </c>
    </row>
    <row r="2518" spans="28:29" x14ac:dyDescent="0.35">
      <c r="AB2518" s="26">
        <v>2515</v>
      </c>
      <c r="AC2518" s="45">
        <v>44337.5</v>
      </c>
    </row>
    <row r="2519" spans="28:29" x14ac:dyDescent="0.35">
      <c r="AB2519" s="44">
        <v>2516</v>
      </c>
      <c r="AC2519" s="45">
        <v>44349</v>
      </c>
    </row>
    <row r="2520" spans="28:29" x14ac:dyDescent="0.35">
      <c r="AB2520" s="26">
        <v>2517</v>
      </c>
      <c r="AC2520" s="45">
        <v>44360.25</v>
      </c>
    </row>
    <row r="2521" spans="28:29" x14ac:dyDescent="0.35">
      <c r="AB2521" s="44">
        <v>2518</v>
      </c>
      <c r="AC2521" s="45">
        <v>44371.5</v>
      </c>
    </row>
    <row r="2522" spans="28:29" x14ac:dyDescent="0.35">
      <c r="AB2522" s="26">
        <v>2519</v>
      </c>
      <c r="AC2522" s="45">
        <v>44382.75</v>
      </c>
    </row>
    <row r="2523" spans="28:29" x14ac:dyDescent="0.35">
      <c r="AB2523" s="26">
        <v>2520</v>
      </c>
      <c r="AC2523" s="45">
        <v>44394</v>
      </c>
    </row>
    <row r="2524" spans="28:29" x14ac:dyDescent="0.35">
      <c r="AB2524" s="44">
        <v>2521</v>
      </c>
      <c r="AC2524" s="45">
        <v>44405.25</v>
      </c>
    </row>
    <row r="2525" spans="28:29" x14ac:dyDescent="0.35">
      <c r="AB2525" s="26">
        <v>2522</v>
      </c>
      <c r="AC2525" s="45">
        <v>44416.5</v>
      </c>
    </row>
    <row r="2526" spans="28:29" x14ac:dyDescent="0.35">
      <c r="AB2526" s="44">
        <v>2523</v>
      </c>
      <c r="AC2526" s="45">
        <v>44427.75</v>
      </c>
    </row>
    <row r="2527" spans="28:29" x14ac:dyDescent="0.35">
      <c r="AB2527" s="26">
        <v>2524</v>
      </c>
      <c r="AC2527" s="45">
        <v>44439</v>
      </c>
    </row>
    <row r="2528" spans="28:29" x14ac:dyDescent="0.35">
      <c r="AB2528" s="44">
        <v>2525</v>
      </c>
      <c r="AC2528" s="45">
        <v>44450.25</v>
      </c>
    </row>
    <row r="2529" spans="28:29" x14ac:dyDescent="0.35">
      <c r="AB2529" s="26">
        <v>2526</v>
      </c>
      <c r="AC2529" s="45">
        <v>44461.5</v>
      </c>
    </row>
    <row r="2530" spans="28:29" x14ac:dyDescent="0.35">
      <c r="AB2530" s="26">
        <v>2527</v>
      </c>
      <c r="AC2530" s="45">
        <v>44472.75</v>
      </c>
    </row>
    <row r="2531" spans="28:29" x14ac:dyDescent="0.35">
      <c r="AB2531" s="44">
        <v>2528</v>
      </c>
      <c r="AC2531" s="45">
        <v>44484</v>
      </c>
    </row>
    <row r="2532" spans="28:29" x14ac:dyDescent="0.35">
      <c r="AB2532" s="26">
        <v>2529</v>
      </c>
      <c r="AC2532" s="45">
        <v>44495</v>
      </c>
    </row>
    <row r="2533" spans="28:29" x14ac:dyDescent="0.35">
      <c r="AB2533" s="44">
        <v>2530</v>
      </c>
      <c r="AC2533" s="45">
        <v>44506</v>
      </c>
    </row>
    <row r="2534" spans="28:29" x14ac:dyDescent="0.35">
      <c r="AB2534" s="26">
        <v>2531</v>
      </c>
      <c r="AC2534" s="45">
        <v>44517</v>
      </c>
    </row>
    <row r="2535" spans="28:29" x14ac:dyDescent="0.35">
      <c r="AB2535" s="44">
        <v>2532</v>
      </c>
      <c r="AC2535" s="45">
        <v>44528</v>
      </c>
    </row>
    <row r="2536" spans="28:29" x14ac:dyDescent="0.35">
      <c r="AB2536" s="26">
        <v>2533</v>
      </c>
      <c r="AC2536" s="45">
        <v>44539</v>
      </c>
    </row>
    <row r="2537" spans="28:29" x14ac:dyDescent="0.35">
      <c r="AB2537" s="26">
        <v>2534</v>
      </c>
      <c r="AC2537" s="45">
        <v>44550</v>
      </c>
    </row>
    <row r="2538" spans="28:29" x14ac:dyDescent="0.35">
      <c r="AB2538" s="44">
        <v>2535</v>
      </c>
      <c r="AC2538" s="45">
        <v>44561</v>
      </c>
    </row>
    <row r="2539" spans="28:29" x14ac:dyDescent="0.35">
      <c r="AB2539" s="26">
        <v>2536</v>
      </c>
      <c r="AC2539" s="45">
        <v>44572</v>
      </c>
    </row>
    <row r="2540" spans="28:29" x14ac:dyDescent="0.35">
      <c r="AB2540" s="44">
        <v>2537</v>
      </c>
      <c r="AC2540" s="45">
        <v>44583</v>
      </c>
    </row>
    <row r="2541" spans="28:29" x14ac:dyDescent="0.35">
      <c r="AB2541" s="26">
        <v>2538</v>
      </c>
      <c r="AC2541" s="45">
        <v>44594</v>
      </c>
    </row>
    <row r="2542" spans="28:29" x14ac:dyDescent="0.35">
      <c r="AB2542" s="44">
        <v>2539</v>
      </c>
      <c r="AC2542" s="45">
        <v>44605</v>
      </c>
    </row>
    <row r="2543" spans="28:29" x14ac:dyDescent="0.35">
      <c r="AB2543" s="26">
        <v>2540</v>
      </c>
      <c r="AC2543" s="45">
        <v>44616</v>
      </c>
    </row>
    <row r="2544" spans="28:29" x14ac:dyDescent="0.35">
      <c r="AB2544" s="26">
        <v>2541</v>
      </c>
      <c r="AC2544" s="45">
        <v>44626.75</v>
      </c>
    </row>
    <row r="2545" spans="28:29" x14ac:dyDescent="0.35">
      <c r="AB2545" s="44">
        <v>2542</v>
      </c>
      <c r="AC2545" s="45">
        <v>44637.5</v>
      </c>
    </row>
    <row r="2546" spans="28:29" x14ac:dyDescent="0.35">
      <c r="AB2546" s="26">
        <v>2543</v>
      </c>
      <c r="AC2546" s="45">
        <v>44648.25</v>
      </c>
    </row>
    <row r="2547" spans="28:29" x14ac:dyDescent="0.35">
      <c r="AB2547" s="44">
        <v>2544</v>
      </c>
      <c r="AC2547" s="45">
        <v>44659</v>
      </c>
    </row>
    <row r="2548" spans="28:29" x14ac:dyDescent="0.35">
      <c r="AB2548" s="26">
        <v>2545</v>
      </c>
      <c r="AC2548" s="45">
        <v>44669.75</v>
      </c>
    </row>
    <row r="2549" spans="28:29" x14ac:dyDescent="0.35">
      <c r="AB2549" s="44">
        <v>2546</v>
      </c>
      <c r="AC2549" s="45">
        <v>44680.5</v>
      </c>
    </row>
    <row r="2550" spans="28:29" x14ac:dyDescent="0.35">
      <c r="AB2550" s="26">
        <v>2547</v>
      </c>
      <c r="AC2550" s="45">
        <v>44691.25</v>
      </c>
    </row>
    <row r="2551" spans="28:29" x14ac:dyDescent="0.35">
      <c r="AB2551" s="26">
        <v>2548</v>
      </c>
      <c r="AC2551" s="45">
        <v>44702</v>
      </c>
    </row>
    <row r="2552" spans="28:29" x14ac:dyDescent="0.35">
      <c r="AB2552" s="44">
        <v>2549</v>
      </c>
      <c r="AC2552" s="45">
        <v>44712.5</v>
      </c>
    </row>
    <row r="2553" spans="28:29" x14ac:dyDescent="0.35">
      <c r="AB2553" s="26">
        <v>2550</v>
      </c>
      <c r="AC2553" s="45">
        <v>44723</v>
      </c>
    </row>
    <row r="2554" spans="28:29" x14ac:dyDescent="0.35">
      <c r="AB2554" s="44">
        <v>2551</v>
      </c>
      <c r="AC2554" s="45">
        <v>44733.5</v>
      </c>
    </row>
    <row r="2555" spans="28:29" x14ac:dyDescent="0.35">
      <c r="AB2555" s="26">
        <v>2552</v>
      </c>
      <c r="AC2555" s="45">
        <v>44744</v>
      </c>
    </row>
    <row r="2556" spans="28:29" x14ac:dyDescent="0.35">
      <c r="AB2556" s="44">
        <v>2553</v>
      </c>
      <c r="AC2556" s="45">
        <v>44754.5</v>
      </c>
    </row>
    <row r="2557" spans="28:29" x14ac:dyDescent="0.35">
      <c r="AB2557" s="26">
        <v>2554</v>
      </c>
      <c r="AC2557" s="45">
        <v>44765</v>
      </c>
    </row>
    <row r="2558" spans="28:29" x14ac:dyDescent="0.35">
      <c r="AB2558" s="26">
        <v>2555</v>
      </c>
      <c r="AC2558" s="45">
        <v>44775.5</v>
      </c>
    </row>
    <row r="2559" spans="28:29" x14ac:dyDescent="0.35">
      <c r="AB2559" s="44">
        <v>2556</v>
      </c>
      <c r="AC2559" s="45">
        <v>44786</v>
      </c>
    </row>
    <row r="2560" spans="28:29" x14ac:dyDescent="0.35">
      <c r="AB2560" s="26">
        <v>2557</v>
      </c>
      <c r="AC2560" s="45">
        <v>44796.25</v>
      </c>
    </row>
    <row r="2561" spans="28:29" x14ac:dyDescent="0.35">
      <c r="AB2561" s="44">
        <v>2558</v>
      </c>
      <c r="AC2561" s="45">
        <v>44806.5</v>
      </c>
    </row>
    <row r="2562" spans="28:29" x14ac:dyDescent="0.35">
      <c r="AB2562" s="26">
        <v>2559</v>
      </c>
      <c r="AC2562" s="45">
        <v>44816.75</v>
      </c>
    </row>
    <row r="2563" spans="28:29" x14ac:dyDescent="0.35">
      <c r="AB2563" s="44">
        <v>2560</v>
      </c>
      <c r="AC2563" s="45">
        <v>44827</v>
      </c>
    </row>
    <row r="2564" spans="28:29" x14ac:dyDescent="0.35">
      <c r="AB2564" s="26">
        <v>2561</v>
      </c>
      <c r="AC2564" s="45">
        <v>44837.25</v>
      </c>
    </row>
    <row r="2565" spans="28:29" x14ac:dyDescent="0.35">
      <c r="AB2565" s="26">
        <v>2562</v>
      </c>
      <c r="AC2565" s="45">
        <v>44847.5</v>
      </c>
    </row>
    <row r="2566" spans="28:29" x14ac:dyDescent="0.35">
      <c r="AB2566" s="44">
        <v>2563</v>
      </c>
      <c r="AC2566" s="45">
        <v>44857.75</v>
      </c>
    </row>
    <row r="2567" spans="28:29" x14ac:dyDescent="0.35">
      <c r="AB2567" s="26">
        <v>2564</v>
      </c>
      <c r="AC2567" s="45">
        <v>44868</v>
      </c>
    </row>
    <row r="2568" spans="28:29" x14ac:dyDescent="0.35">
      <c r="AB2568" s="44">
        <v>2565</v>
      </c>
      <c r="AC2568" s="45">
        <v>44878</v>
      </c>
    </row>
    <row r="2569" spans="28:29" x14ac:dyDescent="0.35">
      <c r="AB2569" s="26">
        <v>2566</v>
      </c>
      <c r="AC2569" s="45">
        <v>44888</v>
      </c>
    </row>
    <row r="2570" spans="28:29" x14ac:dyDescent="0.35">
      <c r="AB2570" s="44">
        <v>2567</v>
      </c>
      <c r="AC2570" s="45">
        <v>44898</v>
      </c>
    </row>
    <row r="2571" spans="28:29" x14ac:dyDescent="0.35">
      <c r="AB2571" s="26">
        <v>2568</v>
      </c>
      <c r="AC2571" s="45">
        <v>44908</v>
      </c>
    </row>
    <row r="2572" spans="28:29" x14ac:dyDescent="0.35">
      <c r="AB2572" s="26">
        <v>2569</v>
      </c>
      <c r="AC2572" s="45">
        <v>44918</v>
      </c>
    </row>
    <row r="2573" spans="28:29" x14ac:dyDescent="0.35">
      <c r="AB2573" s="44">
        <v>2570</v>
      </c>
      <c r="AC2573" s="45">
        <v>44928</v>
      </c>
    </row>
    <row r="2574" spans="28:29" x14ac:dyDescent="0.35">
      <c r="AB2574" s="26">
        <v>2571</v>
      </c>
      <c r="AC2574" s="45">
        <v>44938</v>
      </c>
    </row>
    <row r="2575" spans="28:29" x14ac:dyDescent="0.35">
      <c r="AB2575" s="44">
        <v>2572</v>
      </c>
      <c r="AC2575" s="45">
        <v>44948</v>
      </c>
    </row>
    <row r="2576" spans="28:29" x14ac:dyDescent="0.35">
      <c r="AB2576" s="26">
        <v>2573</v>
      </c>
      <c r="AC2576" s="45">
        <v>44958</v>
      </c>
    </row>
    <row r="2577" spans="28:29" x14ac:dyDescent="0.35">
      <c r="AB2577" s="44">
        <v>2574</v>
      </c>
      <c r="AC2577" s="45">
        <v>44968</v>
      </c>
    </row>
    <row r="2578" spans="28:29" x14ac:dyDescent="0.35">
      <c r="AB2578" s="26">
        <v>2575</v>
      </c>
      <c r="AC2578" s="45">
        <v>44978</v>
      </c>
    </row>
    <row r="2579" spans="28:29" x14ac:dyDescent="0.35">
      <c r="AB2579" s="26">
        <v>2576</v>
      </c>
      <c r="AC2579" s="45">
        <v>44988</v>
      </c>
    </row>
    <row r="2580" spans="28:29" x14ac:dyDescent="0.35">
      <c r="AB2580" s="44">
        <v>2577</v>
      </c>
      <c r="AC2580" s="45">
        <v>44997.5</v>
      </c>
    </row>
    <row r="2581" spans="28:29" x14ac:dyDescent="0.35">
      <c r="AB2581" s="26">
        <v>2578</v>
      </c>
      <c r="AC2581" s="45">
        <v>45007</v>
      </c>
    </row>
    <row r="2582" spans="28:29" x14ac:dyDescent="0.35">
      <c r="AB2582" s="44">
        <v>2579</v>
      </c>
      <c r="AC2582" s="45">
        <v>45016.5</v>
      </c>
    </row>
    <row r="2583" spans="28:29" x14ac:dyDescent="0.35">
      <c r="AB2583" s="26">
        <v>2580</v>
      </c>
      <c r="AC2583" s="45">
        <v>45026</v>
      </c>
    </row>
    <row r="2584" spans="28:29" x14ac:dyDescent="0.35">
      <c r="AB2584" s="44">
        <v>2581</v>
      </c>
      <c r="AC2584" s="45">
        <v>45035.75</v>
      </c>
    </row>
    <row r="2585" spans="28:29" x14ac:dyDescent="0.35">
      <c r="AB2585" s="26">
        <v>2582</v>
      </c>
      <c r="AC2585" s="45">
        <v>45045.5</v>
      </c>
    </row>
    <row r="2586" spans="28:29" x14ac:dyDescent="0.35">
      <c r="AB2586" s="26">
        <v>2583</v>
      </c>
      <c r="AC2586" s="45">
        <v>45055.25</v>
      </c>
    </row>
    <row r="2587" spans="28:29" x14ac:dyDescent="0.35">
      <c r="AB2587" s="44">
        <v>2584</v>
      </c>
      <c r="AC2587" s="45">
        <v>45065</v>
      </c>
    </row>
    <row r="2588" spans="28:29" x14ac:dyDescent="0.35">
      <c r="AB2588" s="26">
        <v>2585</v>
      </c>
      <c r="AC2588" s="45">
        <v>45074.5</v>
      </c>
    </row>
    <row r="2589" spans="28:29" x14ac:dyDescent="0.35">
      <c r="AB2589" s="44">
        <v>2586</v>
      </c>
      <c r="AC2589" s="45">
        <v>45084</v>
      </c>
    </row>
    <row r="2590" spans="28:29" x14ac:dyDescent="0.35">
      <c r="AB2590" s="26">
        <v>2587</v>
      </c>
      <c r="AC2590" s="45">
        <v>45093.5</v>
      </c>
    </row>
    <row r="2591" spans="28:29" x14ac:dyDescent="0.35">
      <c r="AB2591" s="44">
        <v>2588</v>
      </c>
      <c r="AC2591" s="45">
        <v>45103</v>
      </c>
    </row>
    <row r="2592" spans="28:29" x14ac:dyDescent="0.35">
      <c r="AB2592" s="26">
        <v>2589</v>
      </c>
      <c r="AC2592" s="45">
        <v>45112.25</v>
      </c>
    </row>
    <row r="2593" spans="28:29" x14ac:dyDescent="0.35">
      <c r="AB2593" s="26">
        <v>2590</v>
      </c>
      <c r="AC2593" s="45">
        <v>45121.5</v>
      </c>
    </row>
    <row r="2594" spans="28:29" x14ac:dyDescent="0.35">
      <c r="AB2594" s="44">
        <v>2591</v>
      </c>
      <c r="AC2594" s="45">
        <v>45130.75</v>
      </c>
    </row>
    <row r="2595" spans="28:29" x14ac:dyDescent="0.35">
      <c r="AB2595" s="26">
        <v>2592</v>
      </c>
      <c r="AC2595" s="45">
        <v>45140</v>
      </c>
    </row>
    <row r="2596" spans="28:29" x14ac:dyDescent="0.35">
      <c r="AB2596" s="44">
        <v>2593</v>
      </c>
      <c r="AC2596" s="45">
        <v>45149.25</v>
      </c>
    </row>
    <row r="2597" spans="28:29" x14ac:dyDescent="0.35">
      <c r="AB2597" s="26">
        <v>2594</v>
      </c>
      <c r="AC2597" s="45">
        <v>45158.5</v>
      </c>
    </row>
    <row r="2598" spans="28:29" x14ac:dyDescent="0.35">
      <c r="AB2598" s="44">
        <v>2595</v>
      </c>
      <c r="AC2598" s="45">
        <v>45167.75</v>
      </c>
    </row>
    <row r="2599" spans="28:29" x14ac:dyDescent="0.35">
      <c r="AB2599" s="26">
        <v>2596</v>
      </c>
      <c r="AC2599" s="45">
        <v>45177</v>
      </c>
    </row>
    <row r="2600" spans="28:29" x14ac:dyDescent="0.35">
      <c r="AB2600" s="26">
        <v>2597</v>
      </c>
      <c r="AC2600" s="45">
        <v>45186.25</v>
      </c>
    </row>
    <row r="2601" spans="28:29" x14ac:dyDescent="0.35">
      <c r="AB2601" s="44">
        <v>2598</v>
      </c>
      <c r="AC2601" s="45">
        <v>45195.5</v>
      </c>
    </row>
    <row r="2602" spans="28:29" x14ac:dyDescent="0.35">
      <c r="AB2602" s="26">
        <v>2599</v>
      </c>
      <c r="AC2602" s="45">
        <v>45204.75</v>
      </c>
    </row>
    <row r="2603" spans="28:29" x14ac:dyDescent="0.35">
      <c r="AB2603" s="44">
        <v>2600</v>
      </c>
      <c r="AC2603" s="45">
        <v>45214</v>
      </c>
    </row>
    <row r="2604" spans="28:29" x14ac:dyDescent="0.35">
      <c r="AB2604" s="26">
        <v>2601</v>
      </c>
      <c r="AC2604" s="45">
        <v>45222.75</v>
      </c>
    </row>
    <row r="2605" spans="28:29" x14ac:dyDescent="0.35">
      <c r="AB2605" s="44">
        <v>2602</v>
      </c>
      <c r="AC2605" s="45">
        <v>45231.5</v>
      </c>
    </row>
    <row r="2606" spans="28:29" x14ac:dyDescent="0.35">
      <c r="AB2606" s="26">
        <v>2603</v>
      </c>
      <c r="AC2606" s="45">
        <v>45240.25</v>
      </c>
    </row>
    <row r="2607" spans="28:29" x14ac:dyDescent="0.35">
      <c r="AB2607" s="26">
        <v>2604</v>
      </c>
      <c r="AC2607" s="45">
        <v>45249</v>
      </c>
    </row>
    <row r="2608" spans="28:29" x14ac:dyDescent="0.35">
      <c r="AB2608" s="44">
        <v>2605</v>
      </c>
      <c r="AC2608" s="45">
        <v>45258</v>
      </c>
    </row>
    <row r="2609" spans="28:29" x14ac:dyDescent="0.35">
      <c r="AB2609" s="26">
        <v>2606</v>
      </c>
      <c r="AC2609" s="45">
        <v>45267</v>
      </c>
    </row>
    <row r="2610" spans="28:29" x14ac:dyDescent="0.35">
      <c r="AB2610" s="44">
        <v>2607</v>
      </c>
      <c r="AC2610" s="45">
        <v>45276</v>
      </c>
    </row>
    <row r="2611" spans="28:29" x14ac:dyDescent="0.35">
      <c r="AB2611" s="26">
        <v>2608</v>
      </c>
      <c r="AC2611" s="45">
        <v>45285</v>
      </c>
    </row>
    <row r="2612" spans="28:29" x14ac:dyDescent="0.35">
      <c r="AB2612" s="44">
        <v>2609</v>
      </c>
      <c r="AC2612" s="45">
        <v>45293.5</v>
      </c>
    </row>
    <row r="2613" spans="28:29" x14ac:dyDescent="0.35">
      <c r="AB2613" s="26">
        <v>2610</v>
      </c>
      <c r="AC2613" s="45">
        <v>45302</v>
      </c>
    </row>
    <row r="2614" spans="28:29" x14ac:dyDescent="0.35">
      <c r="AB2614" s="26">
        <v>2611</v>
      </c>
      <c r="AC2614" s="45">
        <v>45310.5</v>
      </c>
    </row>
    <row r="2615" spans="28:29" x14ac:dyDescent="0.35">
      <c r="AB2615" s="44">
        <v>2612</v>
      </c>
      <c r="AC2615" s="45">
        <v>45319</v>
      </c>
    </row>
    <row r="2616" spans="28:29" x14ac:dyDescent="0.35">
      <c r="AB2616" s="26">
        <v>2613</v>
      </c>
      <c r="AC2616" s="45">
        <v>45327.75</v>
      </c>
    </row>
    <row r="2617" spans="28:29" x14ac:dyDescent="0.35">
      <c r="AB2617" s="44">
        <v>2614</v>
      </c>
      <c r="AC2617" s="45">
        <v>45336.5</v>
      </c>
    </row>
    <row r="2618" spans="28:29" x14ac:dyDescent="0.35">
      <c r="AB2618" s="26">
        <v>2615</v>
      </c>
      <c r="AC2618" s="45">
        <v>45345.25</v>
      </c>
    </row>
    <row r="2619" spans="28:29" x14ac:dyDescent="0.35">
      <c r="AB2619" s="44">
        <v>2616</v>
      </c>
      <c r="AC2619" s="45">
        <v>45354</v>
      </c>
    </row>
    <row r="2620" spans="28:29" x14ac:dyDescent="0.35">
      <c r="AB2620" s="26">
        <v>2617</v>
      </c>
      <c r="AC2620" s="45">
        <v>45362.25</v>
      </c>
    </row>
    <row r="2621" spans="28:29" x14ac:dyDescent="0.35">
      <c r="AB2621" s="26">
        <v>2618</v>
      </c>
      <c r="AC2621" s="45">
        <v>45370.5</v>
      </c>
    </row>
    <row r="2622" spans="28:29" x14ac:dyDescent="0.35">
      <c r="AB2622" s="44">
        <v>2619</v>
      </c>
      <c r="AC2622" s="45">
        <v>45378.75</v>
      </c>
    </row>
    <row r="2623" spans="28:29" x14ac:dyDescent="0.35">
      <c r="AB2623" s="26">
        <v>2620</v>
      </c>
      <c r="AC2623" s="45">
        <v>45387</v>
      </c>
    </row>
    <row r="2624" spans="28:29" x14ac:dyDescent="0.35">
      <c r="AB2624" s="44">
        <v>2621</v>
      </c>
      <c r="AC2624" s="45">
        <v>45395.25</v>
      </c>
    </row>
    <row r="2625" spans="28:29" x14ac:dyDescent="0.35">
      <c r="AB2625" s="26">
        <v>2622</v>
      </c>
      <c r="AC2625" s="45">
        <v>45403.5</v>
      </c>
    </row>
    <row r="2626" spans="28:29" x14ac:dyDescent="0.35">
      <c r="AB2626" s="44">
        <v>2623</v>
      </c>
      <c r="AC2626" s="45">
        <v>45411.75</v>
      </c>
    </row>
    <row r="2627" spans="28:29" x14ac:dyDescent="0.35">
      <c r="AB2627" s="26">
        <v>2624</v>
      </c>
      <c r="AC2627" s="45">
        <v>45420</v>
      </c>
    </row>
    <row r="2628" spans="28:29" x14ac:dyDescent="0.35">
      <c r="AB2628" s="26">
        <v>2625</v>
      </c>
      <c r="AC2628" s="45">
        <v>45428</v>
      </c>
    </row>
    <row r="2629" spans="28:29" x14ac:dyDescent="0.35">
      <c r="AB2629" s="44">
        <v>2626</v>
      </c>
      <c r="AC2629" s="45">
        <v>45436</v>
      </c>
    </row>
    <row r="2630" spans="28:29" x14ac:dyDescent="0.35">
      <c r="AB2630" s="26">
        <v>2627</v>
      </c>
      <c r="AC2630" s="45">
        <v>45444</v>
      </c>
    </row>
    <row r="2631" spans="28:29" x14ac:dyDescent="0.35">
      <c r="AB2631" s="44">
        <v>2628</v>
      </c>
      <c r="AC2631" s="45">
        <v>45452</v>
      </c>
    </row>
    <row r="2632" spans="28:29" x14ac:dyDescent="0.35">
      <c r="AB2632" s="26">
        <v>2629</v>
      </c>
      <c r="AC2632" s="45">
        <v>45460</v>
      </c>
    </row>
    <row r="2633" spans="28:29" x14ac:dyDescent="0.35">
      <c r="AB2633" s="44">
        <v>2630</v>
      </c>
      <c r="AC2633" s="45">
        <v>45468</v>
      </c>
    </row>
    <row r="2634" spans="28:29" x14ac:dyDescent="0.35">
      <c r="AB2634" s="26">
        <v>2631</v>
      </c>
      <c r="AC2634" s="45">
        <v>45476</v>
      </c>
    </row>
    <row r="2635" spans="28:29" x14ac:dyDescent="0.35">
      <c r="AB2635" s="26">
        <v>2632</v>
      </c>
      <c r="AC2635" s="45">
        <v>45484</v>
      </c>
    </row>
    <row r="2636" spans="28:29" x14ac:dyDescent="0.35">
      <c r="AB2636" s="44">
        <v>2633</v>
      </c>
      <c r="AC2636" s="45">
        <v>45491.75</v>
      </c>
    </row>
    <row r="2637" spans="28:29" x14ac:dyDescent="0.35">
      <c r="AB2637" s="26">
        <v>2634</v>
      </c>
      <c r="AC2637" s="45">
        <v>45499.5</v>
      </c>
    </row>
    <row r="2638" spans="28:29" x14ac:dyDescent="0.35">
      <c r="AB2638" s="44">
        <v>2635</v>
      </c>
      <c r="AC2638" s="45">
        <v>45507.25</v>
      </c>
    </row>
    <row r="2639" spans="28:29" x14ac:dyDescent="0.35">
      <c r="AB2639" s="26">
        <v>2636</v>
      </c>
      <c r="AC2639" s="45">
        <v>45515</v>
      </c>
    </row>
    <row r="2640" spans="28:29" x14ac:dyDescent="0.35">
      <c r="AB2640" s="44">
        <v>2637</v>
      </c>
      <c r="AC2640" s="45">
        <v>45522.75</v>
      </c>
    </row>
    <row r="2641" spans="28:29" x14ac:dyDescent="0.35">
      <c r="AB2641" s="26">
        <v>2638</v>
      </c>
      <c r="AC2641" s="45">
        <v>45530.5</v>
      </c>
    </row>
    <row r="2642" spans="28:29" x14ac:dyDescent="0.35">
      <c r="AB2642" s="26">
        <v>2639</v>
      </c>
      <c r="AC2642" s="45">
        <v>45538.25</v>
      </c>
    </row>
    <row r="2643" spans="28:29" x14ac:dyDescent="0.35">
      <c r="AB2643" s="44">
        <v>2640</v>
      </c>
      <c r="AC2643" s="45">
        <v>45546</v>
      </c>
    </row>
    <row r="2644" spans="28:29" x14ac:dyDescent="0.35">
      <c r="AB2644" s="26">
        <v>2641</v>
      </c>
      <c r="AC2644" s="45">
        <v>45553.5</v>
      </c>
    </row>
    <row r="2645" spans="28:29" x14ac:dyDescent="0.35">
      <c r="AB2645" s="44">
        <v>2642</v>
      </c>
      <c r="AC2645" s="45">
        <v>45561</v>
      </c>
    </row>
    <row r="2646" spans="28:29" x14ac:dyDescent="0.35">
      <c r="AB2646" s="26">
        <v>2643</v>
      </c>
      <c r="AC2646" s="45">
        <v>45568.5</v>
      </c>
    </row>
    <row r="2647" spans="28:29" x14ac:dyDescent="0.35">
      <c r="AB2647" s="44">
        <v>2644</v>
      </c>
      <c r="AC2647" s="45">
        <v>45576</v>
      </c>
    </row>
    <row r="2648" spans="28:29" x14ac:dyDescent="0.35">
      <c r="AB2648" s="26">
        <v>2645</v>
      </c>
      <c r="AC2648" s="45">
        <v>45583.25</v>
      </c>
    </row>
    <row r="2649" spans="28:29" x14ac:dyDescent="0.35">
      <c r="AB2649" s="26">
        <v>2646</v>
      </c>
      <c r="AC2649" s="45">
        <v>45590.5</v>
      </c>
    </row>
    <row r="2650" spans="28:29" x14ac:dyDescent="0.35">
      <c r="AB2650" s="44">
        <v>2647</v>
      </c>
      <c r="AC2650" s="45">
        <v>45597.75</v>
      </c>
    </row>
    <row r="2651" spans="28:29" x14ac:dyDescent="0.35">
      <c r="AB2651" s="26">
        <v>2648</v>
      </c>
      <c r="AC2651" s="45">
        <v>45605</v>
      </c>
    </row>
    <row r="2652" spans="28:29" x14ac:dyDescent="0.35">
      <c r="AB2652" s="44">
        <v>2649</v>
      </c>
      <c r="AC2652" s="45">
        <v>45612</v>
      </c>
    </row>
    <row r="2653" spans="28:29" x14ac:dyDescent="0.35">
      <c r="AB2653" s="26">
        <v>2650</v>
      </c>
      <c r="AC2653" s="45">
        <v>45619</v>
      </c>
    </row>
    <row r="2654" spans="28:29" x14ac:dyDescent="0.35">
      <c r="AB2654" s="44">
        <v>2651</v>
      </c>
      <c r="AC2654" s="45">
        <v>45626</v>
      </c>
    </row>
    <row r="2655" spans="28:29" x14ac:dyDescent="0.35">
      <c r="AB2655" s="26">
        <v>2652</v>
      </c>
      <c r="AC2655" s="45">
        <v>45633</v>
      </c>
    </row>
    <row r="2656" spans="28:29" x14ac:dyDescent="0.35">
      <c r="AB2656" s="26">
        <v>2653</v>
      </c>
      <c r="AC2656" s="45">
        <v>45640</v>
      </c>
    </row>
    <row r="2657" spans="28:29" x14ac:dyDescent="0.35">
      <c r="AB2657" s="44">
        <v>2654</v>
      </c>
      <c r="AC2657" s="45">
        <v>45647</v>
      </c>
    </row>
    <row r="2658" spans="28:29" x14ac:dyDescent="0.35">
      <c r="AB2658" s="26">
        <v>2655</v>
      </c>
      <c r="AC2658" s="45">
        <v>45654</v>
      </c>
    </row>
    <row r="2659" spans="28:29" x14ac:dyDescent="0.35">
      <c r="AB2659" s="44">
        <v>2656</v>
      </c>
      <c r="AC2659" s="45">
        <v>45661</v>
      </c>
    </row>
    <row r="2660" spans="28:29" x14ac:dyDescent="0.35">
      <c r="AB2660" s="26">
        <v>2657</v>
      </c>
      <c r="AC2660" s="45">
        <v>45667.75</v>
      </c>
    </row>
    <row r="2661" spans="28:29" x14ac:dyDescent="0.35">
      <c r="AB2661" s="44">
        <v>2658</v>
      </c>
      <c r="AC2661" s="45">
        <v>45674.5</v>
      </c>
    </row>
    <row r="2662" spans="28:29" x14ac:dyDescent="0.35">
      <c r="AB2662" s="26">
        <v>2659</v>
      </c>
      <c r="AC2662" s="45">
        <v>45681.25</v>
      </c>
    </row>
    <row r="2663" spans="28:29" x14ac:dyDescent="0.35">
      <c r="AB2663" s="26">
        <v>2660</v>
      </c>
      <c r="AC2663" s="45">
        <v>45688</v>
      </c>
    </row>
    <row r="2664" spans="28:29" x14ac:dyDescent="0.35">
      <c r="AB2664" s="44">
        <v>2661</v>
      </c>
      <c r="AC2664" s="45">
        <v>45694.5</v>
      </c>
    </row>
    <row r="2665" spans="28:29" x14ac:dyDescent="0.35">
      <c r="AB2665" s="26">
        <v>2662</v>
      </c>
      <c r="AC2665" s="45">
        <v>45701</v>
      </c>
    </row>
    <row r="2666" spans="28:29" x14ac:dyDescent="0.35">
      <c r="AB2666" s="44">
        <v>2663</v>
      </c>
      <c r="AC2666" s="45">
        <v>45707.5</v>
      </c>
    </row>
    <row r="2667" spans="28:29" x14ac:dyDescent="0.35">
      <c r="AB2667" s="26">
        <v>2664</v>
      </c>
      <c r="AC2667" s="45">
        <v>45714</v>
      </c>
    </row>
    <row r="2668" spans="28:29" x14ac:dyDescent="0.35">
      <c r="AB2668" s="44">
        <v>2665</v>
      </c>
      <c r="AC2668" s="45">
        <v>45720.25</v>
      </c>
    </row>
    <row r="2669" spans="28:29" x14ac:dyDescent="0.35">
      <c r="AB2669" s="26">
        <v>2666</v>
      </c>
      <c r="AC2669" s="45">
        <v>45726.5</v>
      </c>
    </row>
    <row r="2670" spans="28:29" x14ac:dyDescent="0.35">
      <c r="AB2670" s="26">
        <v>2667</v>
      </c>
      <c r="AC2670" s="45">
        <v>45732.75</v>
      </c>
    </row>
    <row r="2671" spans="28:29" x14ac:dyDescent="0.35">
      <c r="AB2671" s="44">
        <v>2668</v>
      </c>
      <c r="AC2671" s="45">
        <v>45739</v>
      </c>
    </row>
    <row r="2672" spans="28:29" x14ac:dyDescent="0.35">
      <c r="AB2672" s="26">
        <v>2669</v>
      </c>
      <c r="AC2672" s="45">
        <v>45745.25</v>
      </c>
    </row>
    <row r="2673" spans="28:29" x14ac:dyDescent="0.35">
      <c r="AB2673" s="44">
        <v>2670</v>
      </c>
      <c r="AC2673" s="45">
        <v>45751.5</v>
      </c>
    </row>
    <row r="2674" spans="28:29" x14ac:dyDescent="0.35">
      <c r="AB2674" s="26">
        <v>2671</v>
      </c>
      <c r="AC2674" s="45">
        <v>45757.75</v>
      </c>
    </row>
    <row r="2675" spans="28:29" x14ac:dyDescent="0.35">
      <c r="AB2675" s="44">
        <v>2672</v>
      </c>
      <c r="AC2675" s="45">
        <v>45764</v>
      </c>
    </row>
    <row r="2676" spans="28:29" x14ac:dyDescent="0.35">
      <c r="AB2676" s="26">
        <v>2673</v>
      </c>
      <c r="AC2676" s="45">
        <v>45770</v>
      </c>
    </row>
    <row r="2677" spans="28:29" x14ac:dyDescent="0.35">
      <c r="AB2677" s="26">
        <v>2674</v>
      </c>
      <c r="AC2677" s="45">
        <v>45776</v>
      </c>
    </row>
    <row r="2678" spans="28:29" x14ac:dyDescent="0.35">
      <c r="AB2678" s="44">
        <v>2675</v>
      </c>
      <c r="AC2678" s="45">
        <v>45782</v>
      </c>
    </row>
    <row r="2679" spans="28:29" x14ac:dyDescent="0.35">
      <c r="AB2679" s="26">
        <v>2676</v>
      </c>
      <c r="AC2679" s="45">
        <v>45788</v>
      </c>
    </row>
    <row r="2680" spans="28:29" x14ac:dyDescent="0.35">
      <c r="AB2680" s="44">
        <v>2677</v>
      </c>
      <c r="AC2680" s="45">
        <v>45793.5</v>
      </c>
    </row>
    <row r="2681" spans="28:29" x14ac:dyDescent="0.35">
      <c r="AB2681" s="26">
        <v>2678</v>
      </c>
      <c r="AC2681" s="45">
        <v>45799</v>
      </c>
    </row>
    <row r="2682" spans="28:29" x14ac:dyDescent="0.35">
      <c r="AB2682" s="44">
        <v>2679</v>
      </c>
      <c r="AC2682" s="45">
        <v>45804.5</v>
      </c>
    </row>
    <row r="2683" spans="28:29" x14ac:dyDescent="0.35">
      <c r="AB2683" s="26">
        <v>2680</v>
      </c>
      <c r="AC2683" s="45">
        <v>45810</v>
      </c>
    </row>
    <row r="2684" spans="28:29" x14ac:dyDescent="0.35">
      <c r="AB2684" s="26">
        <v>2681</v>
      </c>
      <c r="AC2684" s="45">
        <v>45815.5</v>
      </c>
    </row>
    <row r="2685" spans="28:29" x14ac:dyDescent="0.35">
      <c r="AB2685" s="44">
        <v>2682</v>
      </c>
      <c r="AC2685" s="45">
        <v>45821</v>
      </c>
    </row>
    <row r="2686" spans="28:29" x14ac:dyDescent="0.35">
      <c r="AB2686" s="26">
        <v>2683</v>
      </c>
      <c r="AC2686" s="45">
        <v>45826.5</v>
      </c>
    </row>
    <row r="2687" spans="28:29" x14ac:dyDescent="0.35">
      <c r="AB2687" s="44">
        <v>2684</v>
      </c>
      <c r="AC2687" s="45">
        <v>45832</v>
      </c>
    </row>
    <row r="2688" spans="28:29" x14ac:dyDescent="0.35">
      <c r="AB2688" s="26">
        <v>2685</v>
      </c>
      <c r="AC2688" s="45">
        <v>45837.25</v>
      </c>
    </row>
    <row r="2689" spans="28:29" x14ac:dyDescent="0.35">
      <c r="AB2689" s="44">
        <v>2686</v>
      </c>
      <c r="AC2689" s="45">
        <v>45842.5</v>
      </c>
    </row>
    <row r="2690" spans="28:29" x14ac:dyDescent="0.35">
      <c r="AB2690" s="26">
        <v>2687</v>
      </c>
      <c r="AC2690" s="45">
        <v>45847.75</v>
      </c>
    </row>
    <row r="2691" spans="28:29" x14ac:dyDescent="0.35">
      <c r="AB2691" s="26">
        <v>2688</v>
      </c>
      <c r="AC2691" s="45">
        <v>45853</v>
      </c>
    </row>
    <row r="2692" spans="28:29" x14ac:dyDescent="0.35">
      <c r="AB2692" s="44">
        <v>2689</v>
      </c>
      <c r="AC2692" s="45">
        <v>45858</v>
      </c>
    </row>
    <row r="2693" spans="28:29" x14ac:dyDescent="0.35">
      <c r="AB2693" s="26">
        <v>2690</v>
      </c>
      <c r="AC2693" s="45">
        <v>45863</v>
      </c>
    </row>
    <row r="2694" spans="28:29" x14ac:dyDescent="0.35">
      <c r="AB2694" s="44">
        <v>2691</v>
      </c>
      <c r="AC2694" s="45">
        <v>45868</v>
      </c>
    </row>
    <row r="2695" spans="28:29" x14ac:dyDescent="0.35">
      <c r="AB2695" s="26">
        <v>2692</v>
      </c>
      <c r="AC2695" s="45">
        <v>45873</v>
      </c>
    </row>
    <row r="2696" spans="28:29" x14ac:dyDescent="0.35">
      <c r="AB2696" s="44">
        <v>2693</v>
      </c>
      <c r="AC2696" s="45">
        <v>45877.75</v>
      </c>
    </row>
    <row r="2697" spans="28:29" x14ac:dyDescent="0.35">
      <c r="AB2697" s="26">
        <v>2694</v>
      </c>
      <c r="AC2697" s="45">
        <v>45882.5</v>
      </c>
    </row>
    <row r="2698" spans="28:29" x14ac:dyDescent="0.35">
      <c r="AB2698" s="26">
        <v>2695</v>
      </c>
      <c r="AC2698" s="45">
        <v>45887.25</v>
      </c>
    </row>
    <row r="2699" spans="28:29" x14ac:dyDescent="0.35">
      <c r="AB2699" s="44">
        <v>2696</v>
      </c>
      <c r="AC2699" s="45">
        <v>45892</v>
      </c>
    </row>
    <row r="2700" spans="28:29" x14ac:dyDescent="0.35">
      <c r="AB2700" s="26">
        <v>2697</v>
      </c>
      <c r="AC2700" s="45">
        <v>45896.5</v>
      </c>
    </row>
    <row r="2701" spans="28:29" x14ac:dyDescent="0.35">
      <c r="AB2701" s="44">
        <v>2698</v>
      </c>
      <c r="AC2701" s="45">
        <v>45901</v>
      </c>
    </row>
    <row r="2702" spans="28:29" x14ac:dyDescent="0.35">
      <c r="AB2702" s="26">
        <v>2699</v>
      </c>
      <c r="AC2702" s="45">
        <v>45905.5</v>
      </c>
    </row>
    <row r="2703" spans="28:29" x14ac:dyDescent="0.35">
      <c r="AB2703" s="44">
        <v>2700</v>
      </c>
      <c r="AC2703" s="45">
        <v>45910</v>
      </c>
    </row>
    <row r="2704" spans="28:29" x14ac:dyDescent="0.35">
      <c r="AB2704" s="26">
        <v>2701</v>
      </c>
      <c r="AC2704" s="45">
        <v>45914</v>
      </c>
    </row>
    <row r="2705" spans="28:29" x14ac:dyDescent="0.35">
      <c r="AB2705" s="26">
        <v>2702</v>
      </c>
      <c r="AC2705" s="45">
        <v>45918</v>
      </c>
    </row>
    <row r="2706" spans="28:29" x14ac:dyDescent="0.35">
      <c r="AB2706" s="44">
        <v>2703</v>
      </c>
      <c r="AC2706" s="45">
        <v>45922</v>
      </c>
    </row>
    <row r="2707" spans="28:29" x14ac:dyDescent="0.35">
      <c r="AB2707" s="26">
        <v>2704</v>
      </c>
      <c r="AC2707" s="45">
        <v>45926</v>
      </c>
    </row>
    <row r="2708" spans="28:29" x14ac:dyDescent="0.35">
      <c r="AB2708" s="44">
        <v>2705</v>
      </c>
      <c r="AC2708" s="45">
        <v>45929.75</v>
      </c>
    </row>
    <row r="2709" spans="28:29" x14ac:dyDescent="0.35">
      <c r="AB2709" s="26">
        <v>2706</v>
      </c>
      <c r="AC2709" s="45">
        <v>45933.5</v>
      </c>
    </row>
    <row r="2710" spans="28:29" x14ac:dyDescent="0.35">
      <c r="AB2710" s="44">
        <v>2707</v>
      </c>
      <c r="AC2710" s="45">
        <v>45937.25</v>
      </c>
    </row>
    <row r="2711" spans="28:29" x14ac:dyDescent="0.35">
      <c r="AB2711" s="26">
        <v>2708</v>
      </c>
      <c r="AC2711" s="45">
        <v>45941</v>
      </c>
    </row>
    <row r="2712" spans="28:29" x14ac:dyDescent="0.35">
      <c r="AB2712" s="26">
        <v>2709</v>
      </c>
      <c r="AC2712" s="45">
        <v>45944.5</v>
      </c>
    </row>
    <row r="2713" spans="28:29" x14ac:dyDescent="0.35">
      <c r="AB2713" s="44">
        <v>2710</v>
      </c>
      <c r="AC2713" s="45">
        <v>45948</v>
      </c>
    </row>
    <row r="2714" spans="28:29" x14ac:dyDescent="0.35">
      <c r="AB2714" s="26">
        <v>2711</v>
      </c>
      <c r="AC2714" s="45">
        <v>45951.5</v>
      </c>
    </row>
    <row r="2715" spans="28:29" x14ac:dyDescent="0.35">
      <c r="AB2715" s="44">
        <v>2712</v>
      </c>
      <c r="AC2715" s="45">
        <v>45955</v>
      </c>
    </row>
    <row r="2716" spans="28:29" x14ac:dyDescent="0.35">
      <c r="AB2716" s="26">
        <v>2713</v>
      </c>
      <c r="AC2716" s="45">
        <v>45958</v>
      </c>
    </row>
    <row r="2717" spans="28:29" x14ac:dyDescent="0.35">
      <c r="AB2717" s="44">
        <v>2714</v>
      </c>
      <c r="AC2717" s="45">
        <v>45961</v>
      </c>
    </row>
    <row r="2718" spans="28:29" x14ac:dyDescent="0.35">
      <c r="AB2718" s="26">
        <v>2715</v>
      </c>
      <c r="AC2718" s="45">
        <v>45964</v>
      </c>
    </row>
    <row r="2719" spans="28:29" x14ac:dyDescent="0.35">
      <c r="AB2719" s="26">
        <v>2716</v>
      </c>
      <c r="AC2719" s="45">
        <v>45967</v>
      </c>
    </row>
    <row r="2720" spans="28:29" x14ac:dyDescent="0.35">
      <c r="AB2720" s="44">
        <v>2717</v>
      </c>
      <c r="AC2720" s="45">
        <v>45969.5</v>
      </c>
    </row>
    <row r="2721" spans="28:29" x14ac:dyDescent="0.35">
      <c r="AB2721" s="26">
        <v>2718</v>
      </c>
      <c r="AC2721" s="45">
        <v>45972</v>
      </c>
    </row>
    <row r="2722" spans="28:29" x14ac:dyDescent="0.35">
      <c r="AB2722" s="44">
        <v>2719</v>
      </c>
      <c r="AC2722" s="45">
        <v>45974.5</v>
      </c>
    </row>
    <row r="2723" spans="28:29" x14ac:dyDescent="0.35">
      <c r="AB2723" s="26">
        <v>2720</v>
      </c>
      <c r="AC2723" s="45">
        <v>45977</v>
      </c>
    </row>
    <row r="2724" spans="28:29" x14ac:dyDescent="0.35">
      <c r="AB2724" s="44">
        <v>2721</v>
      </c>
      <c r="AC2724" s="45">
        <v>45979</v>
      </c>
    </row>
    <row r="2725" spans="28:29" x14ac:dyDescent="0.35">
      <c r="AB2725" s="26">
        <v>2722</v>
      </c>
      <c r="AC2725" s="45">
        <v>45981</v>
      </c>
    </row>
    <row r="2726" spans="28:29" x14ac:dyDescent="0.35">
      <c r="AB2726" s="26">
        <v>2723</v>
      </c>
      <c r="AC2726" s="45">
        <v>45983</v>
      </c>
    </row>
    <row r="2727" spans="28:29" x14ac:dyDescent="0.35">
      <c r="AB2727" s="44">
        <v>2724</v>
      </c>
      <c r="AC2727" s="45">
        <v>45985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C38:F4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A4F9-1DDE-4196-8EB0-946EEAF9035E}">
  <sheetPr codeName="Sheet5"/>
  <dimension ref="A1:K35"/>
  <sheetViews>
    <sheetView topLeftCell="A4" workbookViewId="0">
      <selection activeCell="N17" sqref="N17"/>
    </sheetView>
  </sheetViews>
  <sheetFormatPr defaultRowHeight="14.5" x14ac:dyDescent="0.35"/>
  <cols>
    <col min="1" max="1" width="10.1796875" bestFit="1" customWidth="1"/>
    <col min="2" max="2" width="12.54296875" hidden="1" customWidth="1"/>
    <col min="3" max="6" width="12.54296875" customWidth="1"/>
    <col min="7" max="7" width="14.1796875" customWidth="1"/>
    <col min="8" max="9" width="14" customWidth="1"/>
    <col min="10" max="10" width="14.7265625" customWidth="1"/>
    <col min="11" max="11" width="10.6328125" customWidth="1"/>
  </cols>
  <sheetData>
    <row r="1" spans="1:11" ht="43.5" x14ac:dyDescent="0.35">
      <c r="A1" s="1" t="s">
        <v>0</v>
      </c>
      <c r="B1" s="2" t="s">
        <v>18</v>
      </c>
      <c r="C1" s="2" t="s">
        <v>28</v>
      </c>
      <c r="D1" s="2" t="s">
        <v>29</v>
      </c>
      <c r="E1" s="2" t="s">
        <v>51</v>
      </c>
      <c r="F1" s="12" t="s">
        <v>49</v>
      </c>
      <c r="G1" s="12" t="s">
        <v>50</v>
      </c>
      <c r="H1" s="12" t="s">
        <v>53</v>
      </c>
      <c r="I1" s="12" t="s">
        <v>54</v>
      </c>
      <c r="J1" s="12" t="s">
        <v>52</v>
      </c>
      <c r="K1" s="7" t="s">
        <v>90</v>
      </c>
    </row>
    <row r="2" spans="1:11" hidden="1" x14ac:dyDescent="0.35">
      <c r="A2" s="4">
        <v>46233</v>
      </c>
      <c r="B2" s="5"/>
      <c r="C2" s="6">
        <v>24323210</v>
      </c>
      <c r="D2" s="5">
        <v>790</v>
      </c>
      <c r="E2" s="16">
        <v>904</v>
      </c>
      <c r="F2" s="5">
        <v>3492166</v>
      </c>
      <c r="G2" s="19">
        <v>482528</v>
      </c>
      <c r="H2" s="19">
        <v>0</v>
      </c>
      <c r="I2" s="16">
        <v>904</v>
      </c>
      <c r="J2" s="16">
        <v>114</v>
      </c>
      <c r="K2" s="31">
        <f>'PowerHouse Data'!E14</f>
        <v>12538.2</v>
      </c>
    </row>
    <row r="3" spans="1:11" ht="18" hidden="1" customHeight="1" x14ac:dyDescent="0.35">
      <c r="A3" s="13">
        <f>'PowerHouse Data'!$C$1</f>
        <v>46265</v>
      </c>
      <c r="B3" s="5" t="s">
        <v>30</v>
      </c>
      <c r="C3" s="5">
        <f>'PowerHouse Data'!$D$6</f>
        <v>24324380</v>
      </c>
      <c r="D3" s="5">
        <f>Table1135[[#This Row],[NEPA FINAL]]-C2</f>
        <v>1170</v>
      </c>
      <c r="E3" s="5">
        <f>(Table1135[[#This Row],[MILLING]]-F2)+(Table1135[[#This Row],[UTILITY / PARBOILING]]-G2)</f>
        <v>1376</v>
      </c>
      <c r="F3" s="5">
        <f>'PowerHouse Data'!$D$7</f>
        <v>3492168</v>
      </c>
      <c r="G3" s="5">
        <f>'PowerHouse Data'!$D$8</f>
        <v>483902</v>
      </c>
      <c r="H3" s="5">
        <f>Table1135[[#This Row],[MILLING]]-F2</f>
        <v>2</v>
      </c>
      <c r="I3" s="5">
        <f>Table1135[[#This Row],[UTILITY / PARBOILING]]-G2</f>
        <v>1374</v>
      </c>
      <c r="J3" s="5">
        <f>Table1135[[#This Row],[MILLING + UTILITY / PARBOILING]]-Table1135[[#This Row],[NEPA Consumption (KWH)]]</f>
        <v>206</v>
      </c>
      <c r="K3" s="31">
        <f>'PowerHouse Data'!E15</f>
        <v>30944.7</v>
      </c>
    </row>
    <row r="4" spans="1:11" ht="18" customHeight="1" x14ac:dyDescent="0.35">
      <c r="A4" s="13">
        <f>'PowerHouse Data'!$D$1</f>
        <v>46266</v>
      </c>
      <c r="B4" s="5" t="s">
        <v>30</v>
      </c>
      <c r="C4" s="5">
        <f>'PowerHouse Data'!$E$6</f>
        <v>24325660</v>
      </c>
      <c r="D4" s="5">
        <f>Table1135[[#This Row],[NEPA FINAL]]-C3</f>
        <v>1280</v>
      </c>
      <c r="E4" s="5">
        <f>(Table1135[[#This Row],[MILLING]]-F3)+(Table1135[[#This Row],[UTILITY / PARBOILING]]-G3)</f>
        <v>1479</v>
      </c>
      <c r="F4" s="5">
        <f>'PowerHouse Data'!$E$7</f>
        <v>3492168</v>
      </c>
      <c r="G4" s="5">
        <f>'PowerHouse Data'!$E$8</f>
        <v>485381</v>
      </c>
      <c r="H4" s="5">
        <f>Table1135[[#This Row],[MILLING]]-F3</f>
        <v>0</v>
      </c>
      <c r="I4" s="5">
        <f>Table1135[[#This Row],[UTILITY / PARBOILING]]-G3</f>
        <v>1479</v>
      </c>
      <c r="J4" s="5">
        <f>Table1135[[#This Row],[MILLING + UTILITY / PARBOILING]]-Table1135[[#This Row],[NEPA Consumption (KWH)]]</f>
        <v>199</v>
      </c>
      <c r="K4" s="10">
        <f>'PowerHouse Data'!E17</f>
        <v>23.3</v>
      </c>
    </row>
    <row r="5" spans="1:11" ht="18" customHeight="1" x14ac:dyDescent="0.35">
      <c r="A5" s="13">
        <f>'PowerHouse Data'!$E$1</f>
        <v>46267</v>
      </c>
      <c r="B5" s="5" t="s">
        <v>30</v>
      </c>
      <c r="C5" s="5">
        <f>'PowerHouse Data'!$F$6</f>
        <v>24326800</v>
      </c>
      <c r="D5" s="5">
        <f>Table1135[[#This Row],[NEPA FINAL]]-C4</f>
        <v>1140</v>
      </c>
      <c r="E5" s="5">
        <f>(Table1135[[#This Row],[MILLING]]-F4)+(Table1135[[#This Row],[UTILITY / PARBOILING]]-G4)</f>
        <v>1347</v>
      </c>
      <c r="F5" s="5">
        <f>'PowerHouse Data'!$F$7</f>
        <v>3492168</v>
      </c>
      <c r="G5" s="5">
        <f>'PowerHouse Data'!$F$8</f>
        <v>486728</v>
      </c>
      <c r="H5" s="5">
        <f>Table1135[[#This Row],[MILLING]]-F4</f>
        <v>0</v>
      </c>
      <c r="I5" s="5">
        <f>Table1135[[#This Row],[UTILITY / PARBOILING]]-G4</f>
        <v>1347</v>
      </c>
      <c r="J5" s="5">
        <f>Table1135[[#This Row],[MILLING + UTILITY / PARBOILING]]-Table1135[[#This Row],[NEPA Consumption (KWH)]]</f>
        <v>207</v>
      </c>
      <c r="K5" s="16">
        <f>'PowerHouse Data'!F17</f>
        <v>22.7</v>
      </c>
    </row>
    <row r="6" spans="1:11" ht="18" customHeight="1" x14ac:dyDescent="0.35">
      <c r="A6" s="13">
        <f>'PowerHouse Data'!$F$1</f>
        <v>46268</v>
      </c>
      <c r="B6" s="5" t="s">
        <v>30</v>
      </c>
      <c r="C6" s="5">
        <f>'PowerHouse Data'!$G$6</f>
        <v>24328160</v>
      </c>
      <c r="D6" s="5">
        <f>Table1135[[#This Row],[NEPA FINAL]]-C5</f>
        <v>1360</v>
      </c>
      <c r="E6" s="5">
        <f>(Table1135[[#This Row],[MILLING]]-F5)+(Table1135[[#This Row],[UTILITY / PARBOILING]]-G5)</f>
        <v>1551</v>
      </c>
      <c r="F6" s="5">
        <f>'PowerHouse Data'!$G$7</f>
        <v>3492168</v>
      </c>
      <c r="G6" s="5">
        <f>'PowerHouse Data'!$G$8</f>
        <v>488279</v>
      </c>
      <c r="H6" s="5">
        <f>Table1135[[#This Row],[MILLING]]-F5</f>
        <v>0</v>
      </c>
      <c r="I6" s="5">
        <f>Table1135[[#This Row],[UTILITY / PARBOILING]]-G5</f>
        <v>1551</v>
      </c>
      <c r="J6" s="5">
        <f>Table1135[[#This Row],[MILLING + UTILITY / PARBOILING]]-Table1135[[#This Row],[NEPA Consumption (KWH)]]</f>
        <v>191</v>
      </c>
      <c r="K6" s="16">
        <f>'PowerHouse Data'!G17</f>
        <v>24</v>
      </c>
    </row>
    <row r="7" spans="1:11" ht="18" customHeight="1" x14ac:dyDescent="0.35">
      <c r="A7" s="13">
        <f>'PowerHouse Data'!$G$1</f>
        <v>46269</v>
      </c>
      <c r="B7" s="5" t="s">
        <v>30</v>
      </c>
      <c r="C7" s="5">
        <f>'PowerHouse Data'!$H$6</f>
        <v>24329420</v>
      </c>
      <c r="D7" s="5">
        <f>Table1135[[#This Row],[NEPA FINAL]]-C6</f>
        <v>1260</v>
      </c>
      <c r="E7" s="5">
        <f>(Table1135[[#This Row],[MILLING]]-F6)+(Table1135[[#This Row],[UTILITY / PARBOILING]]-G6)</f>
        <v>1438</v>
      </c>
      <c r="F7" s="5">
        <f>'PowerHouse Data'!$H$7</f>
        <v>3492168</v>
      </c>
      <c r="G7" s="5">
        <f>'PowerHouse Data'!$H$8</f>
        <v>489717</v>
      </c>
      <c r="H7" s="5">
        <f>Table1135[[#This Row],[MILLING]]-F6</f>
        <v>0</v>
      </c>
      <c r="I7" s="5">
        <f>Table1135[[#This Row],[UTILITY / PARBOILING]]-G6</f>
        <v>1438</v>
      </c>
      <c r="J7" s="5">
        <f>Table1135[[#This Row],[MILLING + UTILITY / PARBOILING]]-Table1135[[#This Row],[NEPA Consumption (KWH)]]</f>
        <v>178</v>
      </c>
      <c r="K7" s="16">
        <f>'PowerHouse Data'!H17</f>
        <v>24</v>
      </c>
    </row>
    <row r="8" spans="1:11" ht="18" customHeight="1" x14ac:dyDescent="0.35">
      <c r="A8" s="13">
        <f>'PowerHouse Data'!$H$1</f>
        <v>46270</v>
      </c>
      <c r="B8" s="5" t="s">
        <v>30</v>
      </c>
      <c r="C8" s="5">
        <f>'PowerHouse Data'!$I$6</f>
        <v>24330310</v>
      </c>
      <c r="D8" s="5">
        <f>Table1135[[#This Row],[NEPA FINAL]]-C7</f>
        <v>890</v>
      </c>
      <c r="E8" s="5">
        <f>(Table1135[[#This Row],[MILLING]]-F7)+(Table1135[[#This Row],[UTILITY / PARBOILING]]-G7)</f>
        <v>1031</v>
      </c>
      <c r="F8" s="5">
        <f>'PowerHouse Data'!$I$7</f>
        <v>3492168</v>
      </c>
      <c r="G8" s="5">
        <f>'PowerHouse Data'!$I$8</f>
        <v>490748</v>
      </c>
      <c r="H8" s="5">
        <f>Table1135[[#This Row],[MILLING]]-F7</f>
        <v>0</v>
      </c>
      <c r="I8" s="5">
        <f>Table1135[[#This Row],[UTILITY / PARBOILING]]-G7</f>
        <v>1031</v>
      </c>
      <c r="J8" s="5">
        <f>Table1135[[#This Row],[MILLING + UTILITY / PARBOILING]]-Table1135[[#This Row],[NEPA Consumption (KWH)]]</f>
        <v>141</v>
      </c>
      <c r="K8" s="16">
        <f>'PowerHouse Data'!I17</f>
        <v>18.3</v>
      </c>
    </row>
    <row r="9" spans="1:11" ht="18" customHeight="1" x14ac:dyDescent="0.35">
      <c r="A9" s="13">
        <f>'PowerHouse Data'!$I$1</f>
        <v>46271</v>
      </c>
      <c r="B9" s="5" t="s">
        <v>30</v>
      </c>
      <c r="C9" s="5">
        <f>'PowerHouse Data'!$J$6</f>
        <v>24331300</v>
      </c>
      <c r="D9" s="5">
        <f>Table1135[[#This Row],[NEPA FINAL]]-C8</f>
        <v>990</v>
      </c>
      <c r="E9" s="5">
        <f>(Table1135[[#This Row],[MILLING]]-F8)+(Table1135[[#This Row],[UTILITY / PARBOILING]]-G8)</f>
        <v>1080</v>
      </c>
      <c r="F9" s="5">
        <f>'PowerHouse Data'!$J$7</f>
        <v>3492168</v>
      </c>
      <c r="G9" s="5">
        <f>'PowerHouse Data'!$J$8</f>
        <v>491828</v>
      </c>
      <c r="H9" s="5">
        <f>Table1135[[#This Row],[MILLING]]-F8</f>
        <v>0</v>
      </c>
      <c r="I9" s="5">
        <f>Table1135[[#This Row],[UTILITY / PARBOILING]]-G8</f>
        <v>1080</v>
      </c>
      <c r="J9" s="5">
        <f>Table1135[[#This Row],[MILLING + UTILITY / PARBOILING]]-Table1135[[#This Row],[NEPA Consumption (KWH)]]</f>
        <v>90</v>
      </c>
      <c r="K9" s="16">
        <f>'PowerHouse Data'!J17</f>
        <v>24</v>
      </c>
    </row>
    <row r="10" spans="1:11" ht="18" customHeight="1" x14ac:dyDescent="0.35">
      <c r="A10" s="13">
        <f>'PowerHouse Data'!$J$1</f>
        <v>46272</v>
      </c>
      <c r="B10" s="5" t="s">
        <v>30</v>
      </c>
      <c r="C10" s="5">
        <f>'PowerHouse Data'!$K$6</f>
        <v>24332540</v>
      </c>
      <c r="D10" s="5">
        <f>Table1135[[#This Row],[NEPA FINAL]]-C9</f>
        <v>1240</v>
      </c>
      <c r="E10" s="5">
        <f>(Table1135[[#This Row],[MILLING]]-F9)+(Table1135[[#This Row],[UTILITY / PARBOILING]]-G9)</f>
        <v>1496</v>
      </c>
      <c r="F10" s="5">
        <f>'PowerHouse Data'!$K$7</f>
        <v>3492168</v>
      </c>
      <c r="G10" s="5">
        <f>'PowerHouse Data'!$K$8</f>
        <v>493324</v>
      </c>
      <c r="H10" s="5">
        <f>Table1135[[#This Row],[MILLING]]-F9</f>
        <v>0</v>
      </c>
      <c r="I10" s="5">
        <f>Table1135[[#This Row],[UTILITY / PARBOILING]]-G9</f>
        <v>1496</v>
      </c>
      <c r="J10" s="5">
        <f>Table1135[[#This Row],[MILLING + UTILITY / PARBOILING]]-Table1135[[#This Row],[NEPA Consumption (KWH)]]</f>
        <v>256</v>
      </c>
      <c r="K10" s="16">
        <f>'PowerHouse Data'!K17</f>
        <v>24</v>
      </c>
    </row>
    <row r="11" spans="1:11" ht="18" customHeight="1" x14ac:dyDescent="0.35">
      <c r="A11" s="13">
        <f>'PowerHouse Data'!$K$1</f>
        <v>46273</v>
      </c>
      <c r="B11" s="5" t="s">
        <v>30</v>
      </c>
      <c r="C11" s="5">
        <f>'PowerHouse Data'!$L$6</f>
        <v>24333580</v>
      </c>
      <c r="D11" s="5">
        <f>Table1135[[#This Row],[NEPA FINAL]]-C10</f>
        <v>1040</v>
      </c>
      <c r="E11" s="5">
        <f>(Table1135[[#This Row],[MILLING]]-F10)+(Table1135[[#This Row],[UTILITY / PARBOILING]]-G10)</f>
        <v>1226</v>
      </c>
      <c r="F11" s="5">
        <f>'PowerHouse Data'!$L$7</f>
        <v>3492168</v>
      </c>
      <c r="G11" s="5">
        <f>'PowerHouse Data'!$L$8</f>
        <v>494550</v>
      </c>
      <c r="H11" s="5">
        <f>Table1135[[#This Row],[MILLING]]-F10</f>
        <v>0</v>
      </c>
      <c r="I11" s="5">
        <f>Table1135[[#This Row],[UTILITY / PARBOILING]]-G10</f>
        <v>1226</v>
      </c>
      <c r="J11" s="5">
        <f>Table1135[[#This Row],[MILLING + UTILITY / PARBOILING]]-Table1135[[#This Row],[NEPA Consumption (KWH)]]</f>
        <v>186</v>
      </c>
      <c r="K11" s="16">
        <f>'PowerHouse Data'!L17</f>
        <v>18.3</v>
      </c>
    </row>
    <row r="12" spans="1:11" ht="18" customHeight="1" x14ac:dyDescent="0.35">
      <c r="A12" s="13">
        <f>'PowerHouse Data'!$L$1</f>
        <v>46274</v>
      </c>
      <c r="B12" s="5" t="s">
        <v>30</v>
      </c>
      <c r="C12" s="5">
        <f>'PowerHouse Data'!$M$6</f>
        <v>24334800</v>
      </c>
      <c r="D12" s="5">
        <f>Table1135[[#This Row],[NEPA FINAL]]-C11</f>
        <v>1220</v>
      </c>
      <c r="E12" s="5">
        <f>(Table1135[[#This Row],[MILLING]]-F11)+(Table1135[[#This Row],[UTILITY / PARBOILING]]-G11)</f>
        <v>1396</v>
      </c>
      <c r="F12" s="5">
        <f>'PowerHouse Data'!$M$7</f>
        <v>3492168</v>
      </c>
      <c r="G12" s="5">
        <f>'PowerHouse Data'!$M$8</f>
        <v>495946</v>
      </c>
      <c r="H12" s="5">
        <f>Table1135[[#This Row],[MILLING]]-F11</f>
        <v>0</v>
      </c>
      <c r="I12" s="5">
        <f>Table1135[[#This Row],[UTILITY / PARBOILING]]-G11</f>
        <v>1396</v>
      </c>
      <c r="J12" s="5">
        <f>Table1135[[#This Row],[MILLING + UTILITY / PARBOILING]]-Table1135[[#This Row],[NEPA Consumption (KWH)]]</f>
        <v>176</v>
      </c>
      <c r="K12" s="16">
        <f>'PowerHouse Data'!M17</f>
        <v>22.4</v>
      </c>
    </row>
    <row r="13" spans="1:11" ht="18" customHeight="1" x14ac:dyDescent="0.35">
      <c r="A13" s="13">
        <f>'PowerHouse Data'!$M$1</f>
        <v>46275</v>
      </c>
      <c r="B13" s="5" t="s">
        <v>30</v>
      </c>
      <c r="C13" s="5">
        <f>'PowerHouse Data'!$N$6</f>
        <v>24335820</v>
      </c>
      <c r="D13" s="5">
        <f>Table1135[[#This Row],[NEPA FINAL]]-C12</f>
        <v>1020</v>
      </c>
      <c r="E13" s="5">
        <f>(Table1135[[#This Row],[MILLING]]-F12)+(Table1135[[#This Row],[UTILITY / PARBOILING]]-G12)</f>
        <v>1160</v>
      </c>
      <c r="F13" s="5">
        <f>'PowerHouse Data'!$N$7</f>
        <v>3492168</v>
      </c>
      <c r="G13" s="5">
        <f>'PowerHouse Data'!$N$8</f>
        <v>497106</v>
      </c>
      <c r="H13" s="5">
        <f>Table1135[[#This Row],[MILLING]]-F12</f>
        <v>0</v>
      </c>
      <c r="I13" s="5">
        <f>Table1135[[#This Row],[UTILITY / PARBOILING]]-G12</f>
        <v>1160</v>
      </c>
      <c r="J13" s="5">
        <f>Table1135[[#This Row],[MILLING + UTILITY / PARBOILING]]-Table1135[[#This Row],[NEPA Consumption (KWH)]]</f>
        <v>140</v>
      </c>
      <c r="K13" s="16">
        <f>'PowerHouse Data'!N17</f>
        <v>20.3</v>
      </c>
    </row>
    <row r="14" spans="1:11" ht="18" customHeight="1" x14ac:dyDescent="0.35">
      <c r="A14" s="13">
        <f>'PowerHouse Data'!$N$1</f>
        <v>46276</v>
      </c>
      <c r="B14" s="5" t="s">
        <v>30</v>
      </c>
      <c r="C14" s="5">
        <f>'PowerHouse Data'!$O$6</f>
        <v>24336970</v>
      </c>
      <c r="D14" s="5">
        <f>Table1135[[#This Row],[NEPA FINAL]]-C13</f>
        <v>1150</v>
      </c>
      <c r="E14" s="5">
        <f>(Table1135[[#This Row],[MILLING]]-F13)+(Table1135[[#This Row],[UTILITY / PARBOILING]]-G13)</f>
        <v>1394</v>
      </c>
      <c r="F14" s="5">
        <f>'PowerHouse Data'!$O$7</f>
        <v>3492168</v>
      </c>
      <c r="G14" s="5">
        <f>'PowerHouse Data'!$O$8</f>
        <v>498500</v>
      </c>
      <c r="H14" s="5">
        <f>Table1135[[#This Row],[MILLING]]-F13</f>
        <v>0</v>
      </c>
      <c r="I14" s="5">
        <f>Table1135[[#This Row],[UTILITY / PARBOILING]]-G13</f>
        <v>1394</v>
      </c>
      <c r="J14" s="5">
        <f>Table1135[[#This Row],[MILLING + UTILITY / PARBOILING]]-Table1135[[#This Row],[NEPA Consumption (KWH)]]</f>
        <v>244</v>
      </c>
      <c r="K14" s="16">
        <f>'PowerHouse Data'!O17</f>
        <v>21.7</v>
      </c>
    </row>
    <row r="15" spans="1:11" ht="18" customHeight="1" x14ac:dyDescent="0.35">
      <c r="A15" s="13">
        <f>'PowerHouse Data'!$O$1</f>
        <v>46277</v>
      </c>
      <c r="B15" s="5" t="s">
        <v>30</v>
      </c>
      <c r="C15" s="5">
        <f>'PowerHouse Data'!$P$6</f>
        <v>24338040</v>
      </c>
      <c r="D15" s="5">
        <f>Table1135[[#This Row],[NEPA FINAL]]-C14</f>
        <v>1070</v>
      </c>
      <c r="E15" s="5">
        <f>(Table1135[[#This Row],[MILLING]]-F14)+(Table1135[[#This Row],[UTILITY / PARBOILING]]-G14)</f>
        <v>1243</v>
      </c>
      <c r="F15" s="5">
        <f>'PowerHouse Data'!$P$7</f>
        <v>3492168</v>
      </c>
      <c r="G15" s="5">
        <f>'PowerHouse Data'!$P$8</f>
        <v>499743</v>
      </c>
      <c r="H15" s="5">
        <f>Table1135[[#This Row],[MILLING]]-F14</f>
        <v>0</v>
      </c>
      <c r="I15" s="5">
        <f>Table1135[[#This Row],[UTILITY / PARBOILING]]-G14</f>
        <v>1243</v>
      </c>
      <c r="J15" s="5">
        <f>Table1135[[#This Row],[MILLING + UTILITY / PARBOILING]]-Table1135[[#This Row],[NEPA Consumption (KWH)]]</f>
        <v>173</v>
      </c>
      <c r="K15" s="16">
        <f>'PowerHouse Data'!P17</f>
        <v>22.7</v>
      </c>
    </row>
    <row r="16" spans="1:11" ht="18" customHeight="1" x14ac:dyDescent="0.35">
      <c r="A16" s="13">
        <f>'PowerHouse Data'!$P$1</f>
        <v>46278</v>
      </c>
      <c r="B16" s="5" t="s">
        <v>30</v>
      </c>
      <c r="C16" s="5">
        <f>'PowerHouse Data'!$Q$6</f>
        <v>24339030</v>
      </c>
      <c r="D16" s="5">
        <f>Table1135[[#This Row],[NEPA FINAL]]-C15</f>
        <v>990</v>
      </c>
      <c r="E16" s="5">
        <f>(Table1135[[#This Row],[MILLING]]-F15)+(Table1135[[#This Row],[UTILITY / PARBOILING]]-G15)</f>
        <v>1196</v>
      </c>
      <c r="F16" s="5">
        <f>'PowerHouse Data'!$Q$7</f>
        <v>3492168</v>
      </c>
      <c r="G16" s="5">
        <f>'PowerHouse Data'!$Q$8</f>
        <v>500939</v>
      </c>
      <c r="H16" s="5">
        <f>Table1135[[#This Row],[MILLING]]-F15</f>
        <v>0</v>
      </c>
      <c r="I16" s="5">
        <f>Table1135[[#This Row],[UTILITY / PARBOILING]]-G15</f>
        <v>1196</v>
      </c>
      <c r="J16" s="5">
        <f>Table1135[[#This Row],[MILLING + UTILITY / PARBOILING]]-Table1135[[#This Row],[NEPA Consumption (KWH)]]</f>
        <v>206</v>
      </c>
      <c r="K16" s="16">
        <f>'PowerHouse Data'!Q17</f>
        <v>24</v>
      </c>
    </row>
    <row r="17" spans="1:11" ht="18" customHeight="1" x14ac:dyDescent="0.35">
      <c r="A17" s="13">
        <f>'PowerHouse Data'!$Q$1</f>
        <v>46279</v>
      </c>
      <c r="B17" s="5" t="s">
        <v>30</v>
      </c>
      <c r="C17" s="5">
        <f>'PowerHouse Data'!$R$6</f>
        <v>24340100</v>
      </c>
      <c r="D17" s="5">
        <f>Table1135[[#This Row],[NEPA FINAL]]-C16</f>
        <v>1070</v>
      </c>
      <c r="E17" s="5">
        <f>(Table1135[[#This Row],[MILLING]]-F16)+(Table1135[[#This Row],[UTILITY / PARBOILING]]-G16)</f>
        <v>1280</v>
      </c>
      <c r="F17" s="5">
        <f>'PowerHouse Data'!$R$7</f>
        <v>3492168</v>
      </c>
      <c r="G17" s="5">
        <f>'PowerHouse Data'!$R$8</f>
        <v>502219</v>
      </c>
      <c r="H17" s="5">
        <f>Table1135[[#This Row],[MILLING]]-F16</f>
        <v>0</v>
      </c>
      <c r="I17" s="5">
        <f>Table1135[[#This Row],[UTILITY / PARBOILING]]-G16</f>
        <v>1280</v>
      </c>
      <c r="J17" s="5">
        <f>Table1135[[#This Row],[MILLING + UTILITY / PARBOILING]]-Table1135[[#This Row],[NEPA Consumption (KWH)]]</f>
        <v>210</v>
      </c>
      <c r="K17" s="16">
        <f>'PowerHouse Data'!R17</f>
        <v>22.7</v>
      </c>
    </row>
    <row r="18" spans="1:11" ht="18" customHeight="1" x14ac:dyDescent="0.35">
      <c r="A18" s="13">
        <f>'PowerHouse Data'!$R$1</f>
        <v>46280</v>
      </c>
      <c r="B18" s="5" t="s">
        <v>30</v>
      </c>
      <c r="C18" s="5">
        <f>'PowerHouse Data'!$S$6</f>
        <v>24340840</v>
      </c>
      <c r="D18" s="5">
        <f>Table1135[[#This Row],[NEPA FINAL]]-C17</f>
        <v>740</v>
      </c>
      <c r="E18" s="5">
        <f>(Table1135[[#This Row],[MILLING]]-F17)+(Table1135[[#This Row],[UTILITY / PARBOILING]]-G17)</f>
        <v>894</v>
      </c>
      <c r="F18" s="5">
        <f>'PowerHouse Data'!$S$7</f>
        <v>3492168</v>
      </c>
      <c r="G18" s="5">
        <f>'PowerHouse Data'!$S$8</f>
        <v>503113</v>
      </c>
      <c r="H18" s="5">
        <f>Table1135[[#This Row],[MILLING]]-F17</f>
        <v>0</v>
      </c>
      <c r="I18" s="5">
        <f>Table1135[[#This Row],[UTILITY / PARBOILING]]-G17</f>
        <v>894</v>
      </c>
      <c r="J18" s="5">
        <f>Table1135[[#This Row],[MILLING + UTILITY / PARBOILING]]-Table1135[[#This Row],[NEPA Consumption (KWH)]]</f>
        <v>154</v>
      </c>
      <c r="K18" s="16">
        <f>'PowerHouse Data'!S17</f>
        <v>18</v>
      </c>
    </row>
    <row r="19" spans="1:11" ht="18" customHeight="1" x14ac:dyDescent="0.35">
      <c r="A19" s="13">
        <f>'PowerHouse Data'!$S$1</f>
        <v>46281</v>
      </c>
      <c r="B19" s="5" t="s">
        <v>30</v>
      </c>
      <c r="C19" s="5">
        <f>'PowerHouse Data'!$T$6</f>
        <v>0</v>
      </c>
      <c r="D19" s="5">
        <f>Table1135[[#This Row],[NEPA FINAL]]-C18</f>
        <v>-24340840</v>
      </c>
      <c r="E19" s="5">
        <f>(Table1135[[#This Row],[MILLING]]-F18)+(Table1135[[#This Row],[UTILITY / PARBOILING]]-G18)</f>
        <v>-3995281</v>
      </c>
      <c r="F19" s="5">
        <f>'PowerHouse Data'!$T$7</f>
        <v>0</v>
      </c>
      <c r="G19" s="5">
        <f>'PowerHouse Data'!$T$8</f>
        <v>0</v>
      </c>
      <c r="H19" s="5">
        <f>Table1135[[#This Row],[MILLING]]-F18</f>
        <v>-3492168</v>
      </c>
      <c r="I19" s="5">
        <f>Table1135[[#This Row],[UTILITY / PARBOILING]]-G18</f>
        <v>-503113</v>
      </c>
      <c r="J19" s="5">
        <f>Table1135[[#This Row],[MILLING + UTILITY / PARBOILING]]-Table1135[[#This Row],[NEPA Consumption (KWH)]]</f>
        <v>20345559</v>
      </c>
      <c r="K19" s="10">
        <f>'PowerHouse Data'!T17</f>
        <v>0</v>
      </c>
    </row>
    <row r="20" spans="1:11" ht="18" customHeight="1" x14ac:dyDescent="0.35">
      <c r="A20" s="13">
        <f>'PowerHouse Data'!$T$1</f>
        <v>46282</v>
      </c>
      <c r="B20" s="5" t="s">
        <v>30</v>
      </c>
      <c r="C20" s="5">
        <f>'PowerHouse Data'!$U$6</f>
        <v>0</v>
      </c>
      <c r="D20" s="5">
        <f>Table1135[[#This Row],[NEPA FINAL]]-C19</f>
        <v>0</v>
      </c>
      <c r="E20" s="5">
        <f>(Table1135[[#This Row],[MILLING]]-F19)+(Table1135[[#This Row],[UTILITY / PARBOILING]]-G19)</f>
        <v>0</v>
      </c>
      <c r="F20" s="5">
        <f>'PowerHouse Data'!$U$7</f>
        <v>0</v>
      </c>
      <c r="G20" s="5">
        <f>'PowerHouse Data'!$U$8</f>
        <v>0</v>
      </c>
      <c r="H20" s="5">
        <f>Table1135[[#This Row],[MILLING]]-F19</f>
        <v>0</v>
      </c>
      <c r="I20" s="5">
        <f>Table1135[[#This Row],[UTILITY / PARBOILING]]-G19</f>
        <v>0</v>
      </c>
      <c r="J20" s="5">
        <f>Table1135[[#This Row],[MILLING + UTILITY / PARBOILING]]-Table1135[[#This Row],[NEPA Consumption (KWH)]]</f>
        <v>0</v>
      </c>
      <c r="K20" s="10">
        <f>'PowerHouse Data'!U17</f>
        <v>0</v>
      </c>
    </row>
    <row r="21" spans="1:11" ht="18" customHeight="1" x14ac:dyDescent="0.35">
      <c r="A21" s="13">
        <f>'PowerHouse Data'!$U$1</f>
        <v>46283</v>
      </c>
      <c r="B21" s="5" t="s">
        <v>30</v>
      </c>
      <c r="C21" s="5">
        <f>'PowerHouse Data'!$V$6</f>
        <v>0</v>
      </c>
      <c r="D21" s="5">
        <f>Table1135[[#This Row],[NEPA FINAL]]-C20</f>
        <v>0</v>
      </c>
      <c r="E21" s="5">
        <f>(Table1135[[#This Row],[MILLING]]-F20)+(Table1135[[#This Row],[UTILITY / PARBOILING]]-G20)</f>
        <v>0</v>
      </c>
      <c r="F21" s="5">
        <f>'PowerHouse Data'!$V$7</f>
        <v>0</v>
      </c>
      <c r="G21" s="5">
        <f>'PowerHouse Data'!$V$8</f>
        <v>0</v>
      </c>
      <c r="H21" s="5">
        <f>Table1135[[#This Row],[MILLING]]-F20</f>
        <v>0</v>
      </c>
      <c r="I21" s="5">
        <f>Table1135[[#This Row],[UTILITY / PARBOILING]]-G20</f>
        <v>0</v>
      </c>
      <c r="J21" s="5">
        <f>Table1135[[#This Row],[MILLING + UTILITY / PARBOILING]]-Table1135[[#This Row],[NEPA Consumption (KWH)]]</f>
        <v>0</v>
      </c>
      <c r="K21" s="10">
        <f>'PowerHouse Data'!V17</f>
        <v>0</v>
      </c>
    </row>
    <row r="22" spans="1:11" ht="18" customHeight="1" x14ac:dyDescent="0.35">
      <c r="A22" s="13">
        <f>'PowerHouse Data'!$V$1</f>
        <v>46284</v>
      </c>
      <c r="B22" s="5" t="s">
        <v>30</v>
      </c>
      <c r="C22" s="5">
        <f>'PowerHouse Data'!$W$6</f>
        <v>0</v>
      </c>
      <c r="D22" s="5">
        <f>Table1135[[#This Row],[NEPA FINAL]]-C21</f>
        <v>0</v>
      </c>
      <c r="E22" s="5">
        <f>(Table1135[[#This Row],[MILLING]]-F21)+(Table1135[[#This Row],[UTILITY / PARBOILING]]-G21)</f>
        <v>0</v>
      </c>
      <c r="F22" s="5">
        <f>'PowerHouse Data'!$W$7</f>
        <v>0</v>
      </c>
      <c r="G22" s="5">
        <f>'PowerHouse Data'!$W$8</f>
        <v>0</v>
      </c>
      <c r="H22" s="5">
        <f>Table1135[[#This Row],[MILLING]]-F21</f>
        <v>0</v>
      </c>
      <c r="I22" s="5">
        <f>Table1135[[#This Row],[UTILITY / PARBOILING]]-G21</f>
        <v>0</v>
      </c>
      <c r="J22" s="5">
        <f>Table1135[[#This Row],[MILLING + UTILITY / PARBOILING]]-Table1135[[#This Row],[NEPA Consumption (KWH)]]</f>
        <v>0</v>
      </c>
      <c r="K22" s="10">
        <f>'PowerHouse Data'!W17</f>
        <v>0</v>
      </c>
    </row>
    <row r="23" spans="1:11" ht="18" customHeight="1" x14ac:dyDescent="0.35">
      <c r="A23" s="13">
        <f>'PowerHouse Data'!$W$1</f>
        <v>46285</v>
      </c>
      <c r="B23" s="5" t="s">
        <v>30</v>
      </c>
      <c r="C23" s="5">
        <f>'PowerHouse Data'!$X$6</f>
        <v>0</v>
      </c>
      <c r="D23" s="5">
        <f>Table1135[[#This Row],[NEPA FINAL]]-C22</f>
        <v>0</v>
      </c>
      <c r="E23" s="5">
        <f>(Table1135[[#This Row],[MILLING]]-F22)+(Table1135[[#This Row],[UTILITY / PARBOILING]]-G22)</f>
        <v>0</v>
      </c>
      <c r="F23" s="5">
        <f>'PowerHouse Data'!$X$7</f>
        <v>0</v>
      </c>
      <c r="G23" s="5">
        <f>'PowerHouse Data'!$X$8</f>
        <v>0</v>
      </c>
      <c r="H23" s="5">
        <f>Table1135[[#This Row],[MILLING]]-F22</f>
        <v>0</v>
      </c>
      <c r="I23" s="5">
        <f>Table1135[[#This Row],[UTILITY / PARBOILING]]-G22</f>
        <v>0</v>
      </c>
      <c r="J23" s="5">
        <f>Table1135[[#This Row],[MILLING + UTILITY / PARBOILING]]-Table1135[[#This Row],[NEPA Consumption (KWH)]]</f>
        <v>0</v>
      </c>
      <c r="K23" s="10">
        <f>'PowerHouse Data'!X17</f>
        <v>0</v>
      </c>
    </row>
    <row r="24" spans="1:11" ht="18" customHeight="1" x14ac:dyDescent="0.35">
      <c r="A24" s="13">
        <f>'PowerHouse Data'!$X$1</f>
        <v>46286</v>
      </c>
      <c r="B24" s="5" t="s">
        <v>30</v>
      </c>
      <c r="C24" s="5">
        <f>'PowerHouse Data'!$Y$6</f>
        <v>0</v>
      </c>
      <c r="D24" s="5">
        <f>Table1135[[#This Row],[NEPA FINAL]]-C23</f>
        <v>0</v>
      </c>
      <c r="E24" s="5">
        <f>(Table1135[[#This Row],[MILLING]]-F23)+(Table1135[[#This Row],[UTILITY / PARBOILING]]-G23)</f>
        <v>0</v>
      </c>
      <c r="F24" s="5">
        <f>'PowerHouse Data'!$Y$7</f>
        <v>0</v>
      </c>
      <c r="G24" s="5">
        <f>'PowerHouse Data'!$Y$8</f>
        <v>0</v>
      </c>
      <c r="H24" s="5">
        <f>Table1135[[#This Row],[MILLING]]-F23</f>
        <v>0</v>
      </c>
      <c r="I24" s="5">
        <f>Table1135[[#This Row],[UTILITY / PARBOILING]]-G23</f>
        <v>0</v>
      </c>
      <c r="J24" s="5">
        <f>Table1135[[#This Row],[MILLING + UTILITY / PARBOILING]]-Table1135[[#This Row],[NEPA Consumption (KWH)]]</f>
        <v>0</v>
      </c>
      <c r="K24" s="10">
        <f>'PowerHouse Data'!Y17</f>
        <v>0</v>
      </c>
    </row>
    <row r="25" spans="1:11" ht="18" customHeight="1" x14ac:dyDescent="0.35">
      <c r="A25" s="13">
        <f>'PowerHouse Data'!$Y$1</f>
        <v>46287</v>
      </c>
      <c r="B25" s="5" t="s">
        <v>30</v>
      </c>
      <c r="C25" s="5">
        <f>'PowerHouse Data'!$Z$6</f>
        <v>0</v>
      </c>
      <c r="D25" s="5">
        <f>Table1135[[#This Row],[NEPA FINAL]]-C24</f>
        <v>0</v>
      </c>
      <c r="E25" s="5">
        <f>(Table1135[[#This Row],[MILLING]]-F24)+(Table1135[[#This Row],[UTILITY / PARBOILING]]-G24)</f>
        <v>0</v>
      </c>
      <c r="F25" s="5">
        <f>'PowerHouse Data'!$Z$7</f>
        <v>0</v>
      </c>
      <c r="G25" s="5">
        <f>'PowerHouse Data'!$Z$8</f>
        <v>0</v>
      </c>
      <c r="H25" s="5">
        <f>Table1135[[#This Row],[MILLING]]-F24</f>
        <v>0</v>
      </c>
      <c r="I25" s="5">
        <f>Table1135[[#This Row],[UTILITY / PARBOILING]]-G24</f>
        <v>0</v>
      </c>
      <c r="J25" s="5">
        <f>Table1135[[#This Row],[MILLING + UTILITY / PARBOILING]]-Table1135[[#This Row],[NEPA Consumption (KWH)]]</f>
        <v>0</v>
      </c>
      <c r="K25" s="10">
        <f>'PowerHouse Data'!Z17</f>
        <v>0</v>
      </c>
    </row>
    <row r="26" spans="1:11" ht="18" customHeight="1" x14ac:dyDescent="0.35">
      <c r="A26" s="13">
        <f>'PowerHouse Data'!$Z$1</f>
        <v>46288</v>
      </c>
      <c r="B26" s="5" t="s">
        <v>30</v>
      </c>
      <c r="C26" s="5">
        <f>'PowerHouse Data'!$AA$6</f>
        <v>0</v>
      </c>
      <c r="D26" s="5">
        <f>Table1135[[#This Row],[NEPA FINAL]]-C25</f>
        <v>0</v>
      </c>
      <c r="E26" s="5">
        <f>(Table1135[[#This Row],[MILLING]]-F25)+(Table1135[[#This Row],[UTILITY / PARBOILING]]-G25)</f>
        <v>0</v>
      </c>
      <c r="F26" s="5">
        <f>'PowerHouse Data'!$AA$7</f>
        <v>0</v>
      </c>
      <c r="G26" s="5">
        <f>'PowerHouse Data'!$AA$8</f>
        <v>0</v>
      </c>
      <c r="H26" s="5">
        <f>Table1135[[#This Row],[MILLING]]-F25</f>
        <v>0</v>
      </c>
      <c r="I26" s="5">
        <f>Table1135[[#This Row],[UTILITY / PARBOILING]]-G25</f>
        <v>0</v>
      </c>
      <c r="J26" s="5">
        <f>Table1135[[#This Row],[MILLING + UTILITY / PARBOILING]]-Table1135[[#This Row],[NEPA Consumption (KWH)]]</f>
        <v>0</v>
      </c>
      <c r="K26" s="10">
        <f>'PowerHouse Data'!AA17</f>
        <v>0</v>
      </c>
    </row>
    <row r="27" spans="1:11" ht="18" customHeight="1" x14ac:dyDescent="0.35">
      <c r="A27" s="13">
        <f>'PowerHouse Data'!$AA$1</f>
        <v>46289</v>
      </c>
      <c r="B27" s="5" t="s">
        <v>30</v>
      </c>
      <c r="C27" s="5">
        <f>'PowerHouse Data'!$AB$6</f>
        <v>0</v>
      </c>
      <c r="D27" s="5">
        <f>Table1135[[#This Row],[NEPA FINAL]]-C26</f>
        <v>0</v>
      </c>
      <c r="E27" s="5">
        <f>(Table1135[[#This Row],[MILLING]]-F26)+(Table1135[[#This Row],[UTILITY / PARBOILING]]-G26)</f>
        <v>0</v>
      </c>
      <c r="F27" s="5">
        <f>'PowerHouse Data'!$AB$7</f>
        <v>0</v>
      </c>
      <c r="G27" s="5">
        <f>'PowerHouse Data'!$AB$8</f>
        <v>0</v>
      </c>
      <c r="H27" s="5">
        <f>Table1135[[#This Row],[MILLING]]-F26</f>
        <v>0</v>
      </c>
      <c r="I27" s="5">
        <f>Table1135[[#This Row],[UTILITY / PARBOILING]]-G26</f>
        <v>0</v>
      </c>
      <c r="J27" s="5">
        <f>Table1135[[#This Row],[MILLING + UTILITY / PARBOILING]]-Table1135[[#This Row],[NEPA Consumption (KWH)]]</f>
        <v>0</v>
      </c>
      <c r="K27" s="10">
        <f>'PowerHouse Data'!AB17</f>
        <v>0</v>
      </c>
    </row>
    <row r="28" spans="1:11" ht="18" customHeight="1" x14ac:dyDescent="0.35">
      <c r="A28" s="13">
        <f>'PowerHouse Data'!$AB$1</f>
        <v>46290</v>
      </c>
      <c r="B28" s="5" t="s">
        <v>30</v>
      </c>
      <c r="C28" s="5">
        <f>'PowerHouse Data'!$AC$6</f>
        <v>0</v>
      </c>
      <c r="D28" s="5">
        <f>Table1135[[#This Row],[NEPA FINAL]]-C27</f>
        <v>0</v>
      </c>
      <c r="E28" s="5">
        <f>(Table1135[[#This Row],[MILLING]]-F27)+(Table1135[[#This Row],[UTILITY / PARBOILING]]-G27)</f>
        <v>0</v>
      </c>
      <c r="F28" s="5">
        <f>'PowerHouse Data'!$AC$7</f>
        <v>0</v>
      </c>
      <c r="G28" s="5">
        <f>'PowerHouse Data'!$AC$8</f>
        <v>0</v>
      </c>
      <c r="H28" s="5">
        <f>Table1135[[#This Row],[MILLING]]-F27</f>
        <v>0</v>
      </c>
      <c r="I28" s="5">
        <f>Table1135[[#This Row],[UTILITY / PARBOILING]]-G27</f>
        <v>0</v>
      </c>
      <c r="J28" s="5">
        <f>Table1135[[#This Row],[MILLING + UTILITY / PARBOILING]]-Table1135[[#This Row],[NEPA Consumption (KWH)]]</f>
        <v>0</v>
      </c>
      <c r="K28" s="10">
        <f>'PowerHouse Data'!AC17</f>
        <v>0</v>
      </c>
    </row>
    <row r="29" spans="1:11" ht="18" customHeight="1" x14ac:dyDescent="0.35">
      <c r="A29" s="13">
        <f>'PowerHouse Data'!$AC$1</f>
        <v>46291</v>
      </c>
      <c r="B29" s="5" t="s">
        <v>30</v>
      </c>
      <c r="C29" s="5">
        <f>'PowerHouse Data'!$AD$6</f>
        <v>0</v>
      </c>
      <c r="D29" s="5">
        <f>Table1135[[#This Row],[NEPA FINAL]]-C28</f>
        <v>0</v>
      </c>
      <c r="E29" s="5">
        <f>(Table1135[[#This Row],[MILLING]]-F28)+(Table1135[[#This Row],[UTILITY / PARBOILING]]-G28)</f>
        <v>0</v>
      </c>
      <c r="F29" s="5">
        <f>'PowerHouse Data'!$AD$7</f>
        <v>0</v>
      </c>
      <c r="G29" s="5">
        <f>'PowerHouse Data'!$AD$8</f>
        <v>0</v>
      </c>
      <c r="H29" s="5">
        <f>Table1135[[#This Row],[MILLING]]-F28</f>
        <v>0</v>
      </c>
      <c r="I29" s="5">
        <f>Table1135[[#This Row],[UTILITY / PARBOILING]]-G28</f>
        <v>0</v>
      </c>
      <c r="J29" s="5">
        <f>Table1135[[#This Row],[MILLING + UTILITY / PARBOILING]]-Table1135[[#This Row],[NEPA Consumption (KWH)]]</f>
        <v>0</v>
      </c>
      <c r="K29" s="10">
        <f>'PowerHouse Data'!AD17</f>
        <v>0</v>
      </c>
    </row>
    <row r="30" spans="1:11" ht="18" customHeight="1" x14ac:dyDescent="0.35">
      <c r="A30" s="13">
        <f>'PowerHouse Data'!$AD$1</f>
        <v>46292</v>
      </c>
      <c r="B30" s="5" t="s">
        <v>30</v>
      </c>
      <c r="C30" s="5">
        <f>'PowerHouse Data'!$AE$6</f>
        <v>0</v>
      </c>
      <c r="D30" s="5">
        <f>Table1135[[#This Row],[NEPA FINAL]]-C29</f>
        <v>0</v>
      </c>
      <c r="E30" s="5">
        <f>(Table1135[[#This Row],[MILLING]]-F29)+(Table1135[[#This Row],[UTILITY / PARBOILING]]-G29)</f>
        <v>0</v>
      </c>
      <c r="F30" s="5">
        <f>'PowerHouse Data'!$AE$7</f>
        <v>0</v>
      </c>
      <c r="G30" s="5">
        <f>'PowerHouse Data'!$AE$8</f>
        <v>0</v>
      </c>
      <c r="H30" s="5">
        <f>Table1135[[#This Row],[MILLING]]-F29</f>
        <v>0</v>
      </c>
      <c r="I30" s="5">
        <f>Table1135[[#This Row],[UTILITY / PARBOILING]]-G29</f>
        <v>0</v>
      </c>
      <c r="J30" s="5">
        <f>Table1135[[#This Row],[MILLING + UTILITY / PARBOILING]]-Table1135[[#This Row],[NEPA Consumption (KWH)]]</f>
        <v>0</v>
      </c>
      <c r="K30" s="10">
        <f>'PowerHouse Data'!AE17</f>
        <v>0</v>
      </c>
    </row>
    <row r="31" spans="1:11" ht="18" customHeight="1" x14ac:dyDescent="0.35">
      <c r="A31" s="13">
        <f>'PowerHouse Data'!$AE$1</f>
        <v>46293</v>
      </c>
      <c r="B31" s="5" t="s">
        <v>30</v>
      </c>
      <c r="C31" s="5">
        <f>'PowerHouse Data'!$AF$6</f>
        <v>0</v>
      </c>
      <c r="D31" s="5">
        <f>Table1135[[#This Row],[NEPA FINAL]]-C30</f>
        <v>0</v>
      </c>
      <c r="E31" s="5">
        <f>(Table1135[[#This Row],[MILLING]]-F30)+(Table1135[[#This Row],[UTILITY / PARBOILING]]-G30)</f>
        <v>0</v>
      </c>
      <c r="F31" s="5">
        <f>'PowerHouse Data'!$AF$7</f>
        <v>0</v>
      </c>
      <c r="G31" s="5">
        <f>'PowerHouse Data'!$AF$8</f>
        <v>0</v>
      </c>
      <c r="H31" s="5">
        <f>Table1135[[#This Row],[MILLING]]-F30</f>
        <v>0</v>
      </c>
      <c r="I31" s="5">
        <f>Table1135[[#This Row],[UTILITY / PARBOILING]]-G30</f>
        <v>0</v>
      </c>
      <c r="J31" s="5">
        <f>Table1135[[#This Row],[MILLING + UTILITY / PARBOILING]]-Table1135[[#This Row],[NEPA Consumption (KWH)]]</f>
        <v>0</v>
      </c>
      <c r="K31" s="10">
        <f>'PowerHouse Data'!AF17</f>
        <v>0</v>
      </c>
    </row>
    <row r="32" spans="1:11" ht="18" customHeight="1" x14ac:dyDescent="0.35">
      <c r="A32" s="13">
        <f>'PowerHouse Data'!$AF$1</f>
        <v>46294</v>
      </c>
      <c r="B32" s="5" t="s">
        <v>30</v>
      </c>
      <c r="C32" s="5">
        <f>'PowerHouse Data'!$AG$6</f>
        <v>0</v>
      </c>
      <c r="D32" s="5">
        <f>Table1135[[#This Row],[NEPA FINAL]]-C31</f>
        <v>0</v>
      </c>
      <c r="E32" s="5">
        <f>(Table1135[[#This Row],[MILLING]]-F31)+(Table1135[[#This Row],[UTILITY / PARBOILING]]-G31)</f>
        <v>0</v>
      </c>
      <c r="F32" s="5">
        <f>'PowerHouse Data'!$AG$7</f>
        <v>0</v>
      </c>
      <c r="G32" s="5">
        <f>'PowerHouse Data'!$AG$8</f>
        <v>0</v>
      </c>
      <c r="H32" s="5">
        <f>Table1135[[#This Row],[MILLING]]-F31</f>
        <v>0</v>
      </c>
      <c r="I32" s="5">
        <f>Table1135[[#This Row],[UTILITY / PARBOILING]]-G31</f>
        <v>0</v>
      </c>
      <c r="J32" s="5">
        <f>Table1135[[#This Row],[MILLING + UTILITY / PARBOILING]]-Table1135[[#This Row],[NEPA Consumption (KWH)]]</f>
        <v>0</v>
      </c>
      <c r="K32" s="10">
        <f>'PowerHouse Data'!AG17</f>
        <v>0</v>
      </c>
    </row>
    <row r="33" spans="1:11" x14ac:dyDescent="0.35">
      <c r="A33" s="13">
        <f>'PowerHouse Data'!$AG$1</f>
        <v>46295</v>
      </c>
      <c r="B33" s="5"/>
      <c r="C33" s="5">
        <f>'PowerHouse Data'!$AH$6</f>
        <v>0</v>
      </c>
      <c r="D33" s="5">
        <f>Table1135[[#This Row],[NEPA FINAL]]-C32</f>
        <v>0</v>
      </c>
      <c r="E33" s="5">
        <f>(Table1135[[#This Row],[MILLING]]-F32)+(Table1135[[#This Row],[UTILITY / PARBOILING]]-G32)</f>
        <v>0</v>
      </c>
      <c r="F33" s="5">
        <f>'PowerHouse Data'!$AH$7</f>
        <v>0</v>
      </c>
      <c r="G33" s="5">
        <f>'PowerHouse Data'!$AH$8</f>
        <v>0</v>
      </c>
      <c r="H33" s="5">
        <f>Table1135[[#This Row],[MILLING]]-F32</f>
        <v>0</v>
      </c>
      <c r="I33" s="5">
        <f>Table1135[[#This Row],[UTILITY / PARBOILING]]-G32</f>
        <v>0</v>
      </c>
      <c r="J33" s="5">
        <f>Table1135[[#This Row],[MILLING + UTILITY / PARBOILING]]-Table1135[[#This Row],[NEPA Consumption (KWH)]]</f>
        <v>0</v>
      </c>
      <c r="K33" s="10">
        <f>'PowerHouse Data'!AH17</f>
        <v>0</v>
      </c>
    </row>
    <row r="34" spans="1:11" x14ac:dyDescent="0.35">
      <c r="A34" s="13">
        <f>'PowerHouse Data'!$AH$1</f>
        <v>46296</v>
      </c>
      <c r="B34" s="5"/>
      <c r="C34" s="5">
        <f>'PowerHouse Data'!$AI$6</f>
        <v>0</v>
      </c>
      <c r="D34" s="6">
        <f>Table1135[[#This Row],[NEPA FINAL]]-C33</f>
        <v>0</v>
      </c>
      <c r="E34" s="16">
        <f>(Table1135[[#This Row],[MILLING]]-F33)+(Table1135[[#This Row],[UTILITY / PARBOILING]]-G33)</f>
        <v>0</v>
      </c>
      <c r="F34" s="5">
        <f>'PowerHouse Data'!$AI$7</f>
        <v>0</v>
      </c>
      <c r="G34" s="5">
        <f>'PowerHouse Data'!$AI$8</f>
        <v>0</v>
      </c>
      <c r="H34" s="16">
        <f>Table1135[[#This Row],[MILLING]]-F33</f>
        <v>0</v>
      </c>
      <c r="I34" s="16">
        <f>Table1135[[#This Row],[UTILITY / PARBOILING]]-G33</f>
        <v>0</v>
      </c>
      <c r="J34" s="16">
        <f>Table1135[[#This Row],[MILLING + UTILITY / PARBOILING]]-Table1135[[#This Row],[NEPA Consumption (KWH)]]</f>
        <v>0</v>
      </c>
      <c r="K34" s="10">
        <f>'PowerHouse Data'!AI17</f>
        <v>0</v>
      </c>
    </row>
    <row r="35" spans="1:11" x14ac:dyDescent="0.35">
      <c r="A35" s="13">
        <f>'PowerHouse Data'!$AI$1</f>
        <v>0</v>
      </c>
      <c r="B35" s="6"/>
      <c r="C35" s="5">
        <f>'PowerHouse Data'!$AJ$6</f>
        <v>0</v>
      </c>
      <c r="D35" s="6">
        <f>Table1135[[#This Row],[NEPA FINAL]]-C34</f>
        <v>0</v>
      </c>
      <c r="E35" s="19">
        <f>(Table1135[[#This Row],[MILLING]]-F34)+(Table1135[[#This Row],[UTILITY / PARBOILING]]-G34)</f>
        <v>0</v>
      </c>
      <c r="F35" s="5">
        <f>'PowerHouse Data'!$AJ$7</f>
        <v>0</v>
      </c>
      <c r="G35" s="5">
        <f>'PowerHouse Data'!$AJ$8</f>
        <v>0</v>
      </c>
      <c r="H35" s="31">
        <f>Table1135[[#This Row],[MILLING]]-F34</f>
        <v>0</v>
      </c>
      <c r="I35" s="31">
        <f>Table1135[[#This Row],[UTILITY / PARBOILING]]-G34</f>
        <v>0</v>
      </c>
      <c r="J35" s="31">
        <f>Table1135[[#This Row],[MILLING + UTILITY / PARBOILING]]-Table1135[[#This Row],[NEPA Consumption (KWH)]]</f>
        <v>0</v>
      </c>
      <c r="K35" s="10">
        <f>'PowerHouse Data'!E47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PowerHouse Data</vt:lpstr>
      <vt:lpstr>Summary</vt:lpstr>
      <vt:lpstr>Compressor</vt:lpstr>
      <vt:lpstr>Diesel</vt:lpstr>
      <vt:lpstr>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Sahai</dc:creator>
  <cp:lastModifiedBy>Punith L Naik</cp:lastModifiedBy>
  <cp:lastPrinted>2026-04-07T06:47:10Z</cp:lastPrinted>
  <dcterms:created xsi:type="dcterms:W3CDTF">2015-06-05T18:17:20Z</dcterms:created>
  <dcterms:modified xsi:type="dcterms:W3CDTF">2026-09-16T10:29:20Z</dcterms:modified>
</cp:coreProperties>
</file>